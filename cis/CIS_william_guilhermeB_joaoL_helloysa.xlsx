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sesisenaisp-my.sharepoint.com/personal/hermilo_lunas_sp_senai_br/Documents/Documentos/@senai/@spskills/@ciclo-26-28/17-tecnologiasWeb/Work-Shop/Osasco_08-12-junho/ProvasSimulados/"/>
    </mc:Choice>
  </mc:AlternateContent>
  <xr:revisionPtr revIDLastSave="0" documentId="8_{B21CEC37-12FA-43D2-9237-3EAD800781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IS Marking Scheme Import" sheetId="1" r:id="rId1"/>
    <sheet name="Calculations" sheetId="6" r:id="rId2"/>
  </sheet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R86" i="1" l="1"/>
  <c r="O86" i="1"/>
  <c r="P86" i="1"/>
  <c r="Q86" i="1"/>
  <c r="Q135" i="1"/>
  <c r="R135" i="1"/>
  <c r="P135" i="1"/>
  <c r="O135" i="1"/>
  <c r="N19" i="1"/>
  <c r="J9" i="1"/>
  <c r="K9" i="1" s="1"/>
  <c r="J8" i="1"/>
  <c r="K8" i="1" s="1"/>
  <c r="J7" i="1"/>
  <c r="K7" i="1" s="1"/>
  <c r="J6" i="1"/>
  <c r="K6" i="1" s="1"/>
  <c r="J5" i="1"/>
  <c r="K5" i="1" s="1"/>
  <c r="K10" i="1" l="1"/>
</calcChain>
</file>

<file path=xl/sharedStrings.xml><?xml version="1.0" encoding="utf-8"?>
<sst xmlns="http://schemas.openxmlformats.org/spreadsheetml/2006/main" count="1001" uniqueCount="213">
  <si>
    <t>17 Tecnologias Web</t>
  </si>
  <si>
    <t>Padrões Ocupacionais da WorldSkills</t>
  </si>
  <si>
    <t>Section</t>
  </si>
  <si>
    <t>WSOS Marks</t>
  </si>
  <si>
    <t>Aspect Marks</t>
  </si>
  <si>
    <t>Variation</t>
  </si>
  <si>
    <t>Organização e gestão do trabalho</t>
  </si>
  <si>
    <t>Habilidades de comunicação e interpessoais</t>
  </si>
  <si>
    <t>Implementação de projeto</t>
  </si>
  <si>
    <t>Desenvolvimento front-end</t>
  </si>
  <si>
    <t>Desenvolvimento back-end</t>
  </si>
  <si>
    <t>Variação Total</t>
  </si>
  <si>
    <t>Critérios</t>
  </si>
  <si>
    <t>ID</t>
  </si>
  <si>
    <t>Nome</t>
  </si>
  <si>
    <t>Mark</t>
  </si>
  <si>
    <t>B</t>
  </si>
  <si>
    <t>API de Produtos Fabricados na França</t>
  </si>
  <si>
    <t>C</t>
  </si>
  <si>
    <t xml:space="preserve">Apresentação de slides </t>
  </si>
  <si>
    <t>Sub
Criterion
ID</t>
  </si>
  <si>
    <t>Sub Criterion
Name or Description</t>
  </si>
  <si>
    <t>Day of Marking</t>
  </si>
  <si>
    <t>Aspect
Type
M = Meas
J = Judg</t>
  </si>
  <si>
    <t>Aspect - Description</t>
  </si>
  <si>
    <t>Judg Score</t>
  </si>
  <si>
    <t>Extra Aspect Description (Meas or Judg)
OR
Judgement Score Description (Judg only)</t>
  </si>
  <si>
    <t>Requirement
(Measurement Only)</t>
  </si>
  <si>
    <t>WSOS Section</t>
  </si>
  <si>
    <t>Calculation Row 
(Export only)</t>
  </si>
  <si>
    <t>Max
Mark</t>
  </si>
  <si>
    <t>Criterion B</t>
  </si>
  <si>
    <t>Total
Mark</t>
  </si>
  <si>
    <t>William</t>
  </si>
  <si>
    <t>Guilherme Bazon</t>
  </si>
  <si>
    <t xml:space="preserve"> Helloysa</t>
  </si>
  <si>
    <t>João Lucas</t>
  </si>
  <si>
    <t>B1</t>
  </si>
  <si>
    <t>Admin</t>
  </si>
  <si>
    <t>1</t>
  </si>
  <si>
    <t/>
  </si>
  <si>
    <t>M</t>
  </si>
  <si>
    <t>A página de login do administrador está localizada no caminho /XX_module_b/login</t>
  </si>
  <si>
    <t>O administrador pode fazer login usando a senha de acesso.</t>
  </si>
  <si>
    <t>O URL está acessível</t>
  </si>
  <si>
    <t>/XX_module_b/ e não está exibindo página em branco ou página de erro.</t>
  </si>
  <si>
    <t>Um arquivo chamado expert_readme.txt é fornecido para incluir o guia de execução.</t>
  </si>
  <si>
    <t>O nome do arquivo não diferencia maiúsculas de minúsculas. Qualquer conteúdo é aceitável.</t>
  </si>
  <si>
    <t>B2</t>
  </si>
  <si>
    <t>Banco de dados</t>
  </si>
  <si>
    <t>O dump do banco de dados foi fornecido e contém as restrições de chave estrangeira e as colunas corretas.</t>
  </si>
  <si>
    <t>O valor 0,25 é atribuído se o dump do banco de dados for fornecido, mas não contiver corretamente as restrições de chave estrangeira.</t>
  </si>
  <si>
    <t>É fornecido um esquema de diagrama ER.</t>
  </si>
  <si>
    <t>O campo GTIN está indexado na tabela de produtos.</t>
  </si>
  <si>
    <t>J</t>
  </si>
  <si>
    <t>O tipo de coluna do banco de dados está razoavelmente definido.</t>
  </si>
  <si>
    <t>Todas as colunas usam tipo de texto ou tipo de cadeia de caracteres.</t>
  </si>
  <si>
    <t>As colunas são basicamente de seus respectivos tipos. Mas números do tipo int/float podem não estar otimizados para operação.</t>
  </si>
  <si>
    <t>As colunas estão organizadas em seus respectivos tipos. Por exemplo, int, float, text, boolean, JSON. E possuem o comprimento adequado.</t>
  </si>
  <si>
    <t>As colunas estão organizadas em seus respectivos tipos. O tamanho de cada tipo corresponde ao caso de uso. As colunas de status são fáceis de entender e manter, podendo exibir valores diretos ou comentários.</t>
  </si>
  <si>
    <t>A estrutura do banco de dados é normalizada.</t>
  </si>
  <si>
    <t>Não normalizado, muitos dados/campos redundantes.</t>
  </si>
  <si>
    <t>Normalizado com a segunda forma normal</t>
  </si>
  <si>
    <t>Normalizado com a terceira forma normal (parcial)</t>
  </si>
  <si>
    <t>Normalizado com a terceira forma normal (completa)</t>
  </si>
  <si>
    <t>B3</t>
  </si>
  <si>
    <t>Empresas (Administração)</t>
  </si>
  <si>
    <t>O administrador pode visualizar a lista de empresas.</t>
  </si>
  <si>
    <t>Com a coluna conforme descrito, deduza 0,25 por campo ausente. A lista inclui empresas desativadas.</t>
  </si>
  <si>
    <t>O administrador pode visualizar uma empresa específica clicando na lista de empresas.</t>
  </si>
  <si>
    <t>O administrador pode visualizar os produtos associados a uma determinada empresa na página de exibição da empresa.</t>
  </si>
  <si>
    <t>O administrador pode criar empresas</t>
  </si>
  <si>
    <t>O administrador pode atualizar as informações das empresas.</t>
  </si>
  <si>
    <t>O administrador pode marcar uma empresa como desativada.</t>
  </si>
  <si>
    <t>Todos os campos nas empresas estão disponíveis para criação.</t>
  </si>
  <si>
    <t>Deduzir 0,25 por erro.</t>
  </si>
  <si>
    <t>Quando uma empresa é desativada, todos os produtos associados a ela são marcados como ocultos.</t>
  </si>
  <si>
    <t>Existe uma lista separada para empresas desativadas.</t>
  </si>
  <si>
    <t>Ninguém pode excluir uma empresa na interface web.</t>
  </si>
  <si>
    <t>Mesmo que a empresa seja desativada, ela não pode ser excluída.</t>
  </si>
  <si>
    <t>B4</t>
  </si>
  <si>
    <t>CRUD de produtos (Administrador)</t>
  </si>
  <si>
    <t>É possível exibir produtos em uma página através de /XX_module_b/products</t>
  </si>
  <si>
    <t>Não é necessário verificar se o banco de dados é compatível.</t>
  </si>
  <si>
    <t>Os produtos exibidos são carregados dinamicamente a partir do banco de dados.</t>
  </si>
  <si>
    <t>Um produto específico pode ser visualizado na página web apenas pelo administrador /XX_module_b/products/GTIN</t>
  </si>
  <si>
    <t>Acesso restrito a administradores, não disponível ao público. Desconte 0,25 se o formato da URL estiver incorreto.</t>
  </si>
  <si>
    <t>Os produtos podem ser marcados como ocultos pelo administrador.</t>
  </si>
  <si>
    <t>Os produtos ocultos podem ser excluídos permanentemente.</t>
  </si>
  <si>
    <t>Somente produtos que já estejam ocultos podem ser manipulados. Descontar 0,25 se algum produto puder ser excluído.</t>
  </si>
  <si>
    <t>Ao acessar a URL /products/new, o formulário de criação de produto é exibido.</t>
  </si>
  <si>
    <t>Os produtos recém-criados podem ser salvos no banco de dados.</t>
  </si>
  <si>
    <t>As funções de gerenciamento de produtos só ficam visíveis e operacionais após o login do administrador.</t>
  </si>
  <si>
    <t>O acesso às funções de gerenciamento de produtos sem login resulta no erro 401.</t>
  </si>
  <si>
    <t>Os produtos possuem informações em dois idiomas: inglês e francês.</t>
  </si>
  <si>
    <t>para os campos de nome e descrição</t>
  </si>
  <si>
    <t>O formulário verifica se o GTIN tem 13 ou 14 caracteres.</t>
  </si>
  <si>
    <t>Verificação de formulário no servidor</t>
  </si>
  <si>
    <t>O administrador pode fazer upload da imagem</t>
  </si>
  <si>
    <t>O administrador pode alterar a imagem</t>
  </si>
  <si>
    <t>O administrador pode remover a imagem carregada.</t>
  </si>
  <si>
    <t>Existe uma imagem de espaço reservado padrão quando nenhuma imagem é carregada.</t>
  </si>
  <si>
    <t>B5</t>
  </si>
  <si>
    <t>API Produtos</t>
  </si>
  <si>
    <t>A saída da API de produtos pode listar JSON.</t>
  </si>
  <si>
    <t>GET /XX_module_b/products.json</t>
  </si>
  <si>
    <t>A API da lista de produtos está correta.</t>
  </si>
  <si>
    <t>Todas as colunas de produtos e dados estão corretas. Deduza 0,25 por erro.</t>
  </si>
  <si>
    <t>A API de paginação da lista de produtos está correta.</t>
  </si>
  <si>
    <t>Todas as colunas de paginação estão corretas. Deduza 0,25 por erro.</t>
  </si>
  <si>
    <t>Um único produto pode ser consultado via JSON.</t>
  </si>
  <si>
    <t>GET /XX_module_b/products/GTIN.json</t>
  </si>
  <si>
    <t>Os campos de produto individuais estão corretos de acordo com o Projeto de Teste.</t>
  </si>
  <si>
    <t>Deduzir 0.25 por erro</t>
  </si>
  <si>
    <t>A API do produto retorna o erro 404 ao acessar um produto inexistente.</t>
  </si>
  <si>
    <t>GET /XX_module_b/products/GTIN.json que GTIN não existe</t>
  </si>
  <si>
    <t>A API do produto retorna o erro 404 ao acessar um produto oculto.</t>
  </si>
  <si>
    <t>GET /XX_module_b/products/GTIN.json quando esse produto estiver marcado como oculto.</t>
  </si>
  <si>
    <t>A lista de produtos em formato JSON permite consultas por meio de palavras-chave.</t>
  </si>
  <si>
    <t>GET /products.json?query=KEYWORD. Pesquisar por nome, nome em francês, descrição e descrição em francês. Descontar 0,25 por erro.</t>
  </si>
  <si>
    <t>B6</t>
  </si>
  <si>
    <t>Consulta e verificação de GTIN</t>
  </si>
  <si>
    <t>É possível acessar a página de verificação.</t>
  </si>
  <si>
    <t>Há um título, uma área para entrada de texto em massa e um botão de envio. Deduza 0,25 por cada campo ausente.</t>
  </si>
  <si>
    <t>É possível inserir vários códigos GTIN e enviar para ver o resultado.</t>
  </si>
  <si>
    <t>Os dados da página de resultados estão corretos.</t>
  </si>
  <si>
    <t>A página de resultados exibe "Todas corretas" e um visto verde quando não há erros de verificação do GTIN.</t>
  </si>
  <si>
    <t>B7</t>
  </si>
  <si>
    <t>Página do produto voltada ao público</t>
  </si>
  <si>
    <t>A página pública de um produto pode ser acessada através do endereço /XX_module_b/01/GTIN.</t>
  </si>
  <si>
    <t>A página pública do produto exibe o campo obrigatório e está em um layout para dispositivos móveis.</t>
  </si>
  <si>
    <t>Nome da empresa, nome do produto, descrição do produto, imagem do produto, peso, conteúdo líquido. Deduzir 0,25 por cada item faltante.</t>
  </si>
  <si>
    <t>É possível escolher entre inglês e francês para a página pública do produto.</t>
  </si>
  <si>
    <t>O conteúdo muda de acordo</t>
  </si>
  <si>
    <t>O atributo lang da página, tanto na parte em francês quanto na parte em inglês, está configurado corretamente.</t>
  </si>
  <si>
    <t>Criterion C</t>
  </si>
  <si>
    <t xml:space="preserve"> João Lucas</t>
  </si>
  <si>
    <t>E1</t>
  </si>
  <si>
    <t>Carregando arquivos de imagem</t>
  </si>
  <si>
    <t>3</t>
  </si>
  <si>
    <t>O módulo está acessível conforme descrito.</t>
  </si>
  <si>
    <t>/XX_module_e/</t>
  </si>
  <si>
    <t>O usuário pode selecionar arquivos de imagem fotográfica.</t>
  </si>
  <si>
    <t>É possível arrastar e soltar arquivos de imagem para criar apresentações de slides.</t>
  </si>
  <si>
    <t>As fotos de exemplo são usadas quando o usuário opta por carregar fotos de exemplo.</t>
  </si>
  <si>
    <t>A legenda foi extraída do nome do arquivo.</t>
  </si>
  <si>
    <t>capitalizar e remover slug</t>
  </si>
  <si>
    <t>E2</t>
  </si>
  <si>
    <t>Ordenando Fotos</t>
  </si>
  <si>
    <t>Existe uma visualização, ou página, para reordenar as fotos selecionadas.</t>
  </si>
  <si>
    <t>via configuração</t>
  </si>
  <si>
    <t>As fotos arrastadas podem ser ordenadas manualmente pelos usuários.</t>
  </si>
  <si>
    <t>A ordenação das fotos pode ser feita por meio de arrastar e soltar.</t>
  </si>
  <si>
    <t>E3</t>
  </si>
  <si>
    <t>Funcionamento dos Slides</t>
  </si>
  <si>
    <t>Ao clicar no botão de configuração, o painel de configuração é exibido, contendo as opções de operação.</t>
  </si>
  <si>
    <t>Os 3 modos de alternância estão dentro do painel de configuração. A alternância de temas também está dentro do painel de configuração.</t>
  </si>
  <si>
    <t>Existem 3 modos de seleção: controle manual, reprodução automática e reprodução aleatória.</t>
  </si>
  <si>
    <t>A apresentação de slides pode ser controlada pelo teclado.</t>
  </si>
  <si>
    <t>A apresentação de slides pode ser reproduzida automaticamente, em ordem</t>
  </si>
  <si>
    <t>Uma foto após a outra</t>
  </si>
  <si>
    <t>A apresentação de slides pode ser reproduzida em ordem aleatória.</t>
  </si>
  <si>
    <t>A apresentação de slides de fotos pode ser exibida em tela cheia.</t>
  </si>
  <si>
    <t>E4</t>
  </si>
  <si>
    <t>Temas</t>
  </si>
  <si>
    <t>O usuário pode selecionar temas.</t>
  </si>
  <si>
    <t>no painel de configuração</t>
  </si>
  <si>
    <t>Mesmo com o CSS desativado no navegador, o usuário ainda pode selecionar um arquivo e exibir as fotos escolhidas.</t>
  </si>
  <si>
    <t>Independentemente do layout e do estilo, basta listar todas as fotos selecionadas.</t>
  </si>
  <si>
    <t>O tema A funciona conforme definido.</t>
  </si>
  <si>
    <t>As fotos alternam sem necessidade de transição. A posição das legendas e a cor de fundo/primeiro plano acompanham o resultado. Descontar 0,25 por erro.</t>
  </si>
  <si>
    <t>O tema B funciona conforme definido.</t>
  </si>
  <si>
    <t>As fotos entram da esquerda para a direita e saem da direita para a esquerda. A animação das legendas no Tema B segue a definição. Deduza 0,25 por erro.</t>
  </si>
  <si>
    <t>O tema C funciona conforme definido.</t>
  </si>
  <si>
    <t>As fotos entram de baixo para cima e saem de cima para baixo. A animação das legendas no Tema C segue a definição. Deduza 0,25 por erro.</t>
  </si>
  <si>
    <t>O tema D funciona conforme definido.</t>
  </si>
  <si>
    <t>As fotos entram pela esquerda e permanecem no centro. Saem pela esquerda. A animação das legendas no Tema D segue a definição. Deduza 0,25 por erro.</t>
  </si>
  <si>
    <t>O tema E funciona conforme definido.</t>
  </si>
  <si>
    <t>As fotos são inseridas com o efeito de porta aberta, conforme descrito. A animação das legendas no Tema E segue a definição. Deduza 0,25 por erro.</t>
  </si>
  <si>
    <t>Um novo tema foi criado e denominado "Tema F".</t>
  </si>
  <si>
    <t>O CSS dos temas está bem organizado e em diferentes arquivos de forma separada.</t>
  </si>
  <si>
    <t>O recurso de fotos deslizando para dentro e para fora do Tema F é atraente.</t>
  </si>
  <si>
    <t>Nenhuma animação CSS implementada.</t>
  </si>
  <si>
    <t>Implementadas animações CSS básicas, que melhoram alguns aspectos visuais.</t>
  </si>
  <si>
    <t>Bom uso de animações CSS, que aprimoram a experiência visual.</t>
  </si>
  <si>
    <t>Excelente uso de animações CSS, com todas as animações aprimorando a experiência do usuário e contribuindo para um design coeso.</t>
  </si>
  <si>
    <t>A animação das legendas para o Tema F é atraente.</t>
  </si>
  <si>
    <t>E5</t>
  </si>
  <si>
    <t>Command Bar</t>
  </si>
  <si>
    <t>O usuário pode exibir a command bar pressionando CTRL+K ou "/".</t>
  </si>
  <si>
    <t>Possibilidade de alternar o tema na command bar</t>
  </si>
  <si>
    <t>digitando o comando exato e pressionando ENTER</t>
  </si>
  <si>
    <t>Capaz de exibir opções de comandos parcialmente correspondentes.</t>
  </si>
  <si>
    <t>É possível selecionar uma opção pressionando as teclas para cima e para baixo na command bar</t>
  </si>
  <si>
    <t>Possibilidade de alternar o modo de operação na barra de comandos.</t>
  </si>
  <si>
    <t>Controle manual, reprodução automática, aleatório</t>
  </si>
  <si>
    <t>É possível retornar ao normal a partir da caixa de diálogo da barra de comandos pressionando a tecla ESC.</t>
  </si>
  <si>
    <t xml:space="preserve"> </t>
  </si>
  <si>
    <t>Competition</t>
  </si>
  <si>
    <t>Pass/Fail</t>
  </si>
  <si>
    <t>PASS_FAIL</t>
  </si>
  <si>
    <t>Deduct .25</t>
  </si>
  <si>
    <t>REGULAR_DIFFERENCE_DEDUCTION</t>
  </si>
  <si>
    <t>DEDUCTION_TYPE:::#x~x#UNIT#-#TARGET_VALUE:::0E-8#x~x##-#DIFFERENCE:::1.00000000#x~x##-#DIFFERENCE_TYPE:::#x~x#UNIT#-#DEDUCTION:::0.25000000#x~x#</t>
  </si>
  <si>
    <t>B4.M5</t>
  </si>
  <si>
    <t>CHOICE</t>
  </si>
  <si>
    <t>DEDUCTION_TYPE:::#x~x#UNIT#-#CHOICE3_LABEL:::#x~x#No Marks#-#CHOICE2_DEDUCTION:::0.25000000#x~x##-#CHOICE2_LABEL:::#x~x#Any products can be deleted#-#CHOICE1_DEDUCTION:::0E-8#x~x##-#CHOICE1_LABEL:::#x~x#Full Marks#-#CHOICE3_DEDUCTION:::0.75000000#x~x#</t>
  </si>
  <si>
    <t>C1.M11</t>
  </si>
  <si>
    <t>DEDUCTION_TYPE:::#x~x#UNIT#-#CHOICE3_LABEL:::#x~x#No Marks#-#CHOICE2_DEDUCTION:::0.25000000#x~x##-#CHOICE2_LABEL:::#x~x#File is created but not configured#-#CHOICE1_DEDUCTION:::0E-8#x~x##-#CHOICE1_LABEL:::#x~x#Full Marks#-#CHOICE3_DEDUCTION:::0.50000000#x~x#</t>
  </si>
  <si>
    <t>C2.M1</t>
  </si>
  <si>
    <t>DEDUCTION_TYPE:::#x~x#UNIT#-#CHOICE3_LABEL:::#x~x#No Marks#-#CHOICE2_DEDUCTION:::0.75000000#x~x##-#CHOICE2_LABEL:::#x~x#Only reacable but not functional#-#CHOICE1_DEDUCTION:::0E-8#x~x##-#CHOICE1_LABEL:::#x~x#Full Marks#-#CHOICE3_DEDUCTION:::1.00000000#x~x#</t>
  </si>
  <si>
    <t>Deduct .5</t>
  </si>
  <si>
    <t>DEDUCTION_TYPE:::#x~x#UNIT#-#TARGET_VALUE:::0E-8#x~x##-#DIFFERENCE:::1.00000000#x~x##-#DIFFERENCE_TYPE:::#x~x#UNIT#-#DEDUCTION:::0.50000000#x~x#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</si>
</sst>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theme="1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0"/>
      <color rgb="FFFFFFFF"/>
      <name val="Arial"/>
      <family val="2"/>
    </font>
    <font>
      <sz val="18"/>
      <color indexed="9"/>
      <name val="Arial"/>
      <family val="2"/>
    </font>
    <font>
      <sz val="16"/>
      <color indexed="9"/>
      <name val="Arial"/>
      <family val="2"/>
    </font>
    <font>
      <sz val="10"/>
      <name val="Arial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969696"/>
        <bgColor rgb="FF000000"/>
      </patternFill>
    </fill>
    <fill>
      <patternFill patternType="none">
        <bgColor indexed="64"/>
      </patternFill>
    </fill>
    <fill>
      <patternFill patternType="solid">
        <fgColor theme="0" tint="-0.3499862666707357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 applyAlignment="1">
      <alignment horizontal="center" vertical="center"/>
    </xf>
    <xf numFmtId="2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10" fontId="0" fillId="0" borderId="0" xfId="1" applyNumberFormat="1" applyFont="1"/>
    <xf numFmtId="0" fontId="2" fillId="0" borderId="6" xfId="0" applyFont="1" applyBorder="1" applyAlignment="1">
      <alignment horizontal="center" vertical="center"/>
    </xf>
    <xf numFmtId="9" fontId="5" fillId="0" borderId="0" xfId="1" applyFont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0" fillId="0" borderId="13" xfId="0" applyBorder="1"/>
    <xf numFmtId="0" fontId="9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2" fontId="9" fillId="0" borderId="8" xfId="0" applyNumberFormat="1" applyFont="1" applyBorder="1" applyAlignment="1">
      <alignment horizontal="center" vertical="center"/>
    </xf>
    <xf numFmtId="0" fontId="9" fillId="5" borderId="2" xfId="0" applyFont="1" applyFill="1" applyBorder="1" applyAlignment="1">
      <alignment horizontal="left" vertical="center"/>
    </xf>
    <xf numFmtId="0" fontId="9" fillId="5" borderId="3" xfId="0" applyFont="1" applyFill="1" applyBorder="1" applyAlignment="1">
      <alignment horizontal="left" vertical="center"/>
    </xf>
    <xf numFmtId="0" fontId="9" fillId="5" borderId="4" xfId="0" applyFont="1" applyFill="1" applyBorder="1" applyAlignment="1">
      <alignment horizontal="left" vertical="center"/>
    </xf>
    <xf numFmtId="2" fontId="9" fillId="0" borderId="6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2" fontId="9" fillId="0" borderId="7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9" fillId="0" borderId="8" xfId="0" applyFont="1" applyBorder="1" applyAlignment="1">
      <alignment horizontal="left" vertical="center" wrapText="1"/>
    </xf>
    <xf numFmtId="0" fontId="9" fillId="5" borderId="3" xfId="0" applyFont="1" applyFill="1" applyBorder="1" applyAlignment="1">
      <alignment horizontal="left" vertical="center" wrapText="1"/>
    </xf>
    <xf numFmtId="14" fontId="0" fillId="0" borderId="0" xfId="0" quotePrefix="1" applyNumberFormat="1"/>
    <xf numFmtId="2" fontId="0" fillId="0" borderId="0" xfId="0" quotePrefix="1" applyNumberFormat="1"/>
    <xf numFmtId="0" fontId="2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9" fillId="0" borderId="10" xfId="0" applyFont="1" applyBorder="1" applyAlignment="1">
      <alignment horizontal="left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8" xfId="0" applyBorder="1" applyAlignment="1"/>
    <xf numFmtId="0" fontId="0" fillId="0" borderId="9" xfId="0" applyBorder="1" applyAlignment="1"/>
    <xf numFmtId="0" fontId="0" fillId="0" borderId="10" xfId="0" applyBorder="1" applyAlignment="1"/>
    <xf numFmtId="0" fontId="0" fillId="4" borderId="8" xfId="0" applyFill="1" applyBorder="1" applyAlignment="1"/>
  </cellXfs>
  <cellStyles count="2">
    <cellStyle name="Normal" xfId="0" builtinId="0" customBuiltin="1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5"/>
  <sheetViews>
    <sheetView tabSelected="1" topLeftCell="G14" zoomScale="40" zoomScaleNormal="40" workbookViewId="0">
      <selection activeCell="L19" sqref="L19"/>
    </sheetView>
  </sheetViews>
  <sheetFormatPr defaultColWidth="8.7109375" defaultRowHeight="13.15"/>
  <cols>
    <col min="1" max="1" width="7.7109375" customWidth="1"/>
    <col min="2" max="2" width="39" customWidth="1"/>
    <col min="3" max="3" width="7.7109375" customWidth="1"/>
    <col min="4" max="4" width="8.42578125" customWidth="1"/>
    <col min="5" max="5" width="97.42578125" style="30" customWidth="1"/>
    <col min="6" max="6" width="8" customWidth="1"/>
    <col min="7" max="7" width="167" customWidth="1"/>
    <col min="8" max="8" width="15.42578125" customWidth="1"/>
    <col min="9" max="9" width="11.28515625" customWidth="1"/>
    <col min="10" max="10" width="11" customWidth="1"/>
    <col min="11" max="11" width="10.7109375" customWidth="1"/>
    <col min="12" max="12" width="18.42578125" customWidth="1"/>
    <col min="13" max="13" width="10.42578125" bestFit="1" customWidth="1"/>
    <col min="14" max="14" width="10.7109375" bestFit="1" customWidth="1"/>
  </cols>
  <sheetData>
    <row r="1" spans="1:11" ht="49.15" customHeight="1" thickBot="1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2"/>
    </row>
    <row r="2" spans="1:11" ht="36" customHeight="1" thickBot="1">
      <c r="C2" s="1"/>
      <c r="E2" s="29"/>
      <c r="J2" s="1"/>
    </row>
    <row r="3" spans="1:11" ht="34.9" customHeight="1" thickBot="1">
      <c r="A3" s="38" t="s">
        <v>1</v>
      </c>
      <c r="B3" s="39"/>
      <c r="C3" s="39"/>
      <c r="D3" s="39"/>
      <c r="E3" s="39"/>
      <c r="F3" s="39"/>
      <c r="G3" s="39"/>
      <c r="H3" s="39"/>
      <c r="I3" s="39"/>
      <c r="J3" s="39"/>
      <c r="K3" s="40"/>
    </row>
    <row r="4" spans="1:11" ht="34.9" customHeight="1" thickBot="1">
      <c r="A4" s="9" t="s">
        <v>2</v>
      </c>
      <c r="B4" s="47" t="s">
        <v>3</v>
      </c>
      <c r="C4" s="48"/>
      <c r="D4" s="48"/>
      <c r="E4" s="48"/>
      <c r="F4" s="48"/>
      <c r="G4" s="48"/>
      <c r="H4" s="49"/>
      <c r="I4" s="10" t="s">
        <v>3</v>
      </c>
      <c r="J4" s="10" t="s">
        <v>4</v>
      </c>
      <c r="K4" s="10" t="s">
        <v>5</v>
      </c>
    </row>
    <row r="5" spans="1:11" ht="25.15" customHeight="1">
      <c r="A5" s="12">
        <v>1</v>
      </c>
      <c r="B5" s="37" t="s">
        <v>6</v>
      </c>
      <c r="C5" s="53"/>
      <c r="D5" s="53"/>
      <c r="E5" s="53"/>
      <c r="F5" s="53"/>
      <c r="G5" s="53"/>
      <c r="H5" s="54"/>
      <c r="I5" s="22">
        <v>5</v>
      </c>
      <c r="J5" s="26">
        <f>SUMIF(I19:I134, A5, K19:K134)</f>
        <v>0.25</v>
      </c>
      <c r="K5" s="26">
        <f>ABS(I5-J5)</f>
        <v>4.75</v>
      </c>
    </row>
    <row r="6" spans="1:11" ht="25.15" customHeight="1">
      <c r="A6" s="12">
        <v>2</v>
      </c>
      <c r="B6" s="37" t="s">
        <v>7</v>
      </c>
      <c r="C6" s="53"/>
      <c r="D6" s="53"/>
      <c r="E6" s="53"/>
      <c r="F6" s="53"/>
      <c r="G6" s="53"/>
      <c r="H6" s="54"/>
      <c r="I6" s="22">
        <v>5</v>
      </c>
      <c r="J6" s="26">
        <f>SUMIF(I19:I134, A6, K19:K134)</f>
        <v>1.25</v>
      </c>
      <c r="K6" s="26">
        <f>ABS(I6-J6)</f>
        <v>3.75</v>
      </c>
    </row>
    <row r="7" spans="1:11" ht="25.15" customHeight="1">
      <c r="A7" s="12">
        <v>3</v>
      </c>
      <c r="B7" s="37" t="s">
        <v>8</v>
      </c>
      <c r="C7" s="53"/>
      <c r="D7" s="53"/>
      <c r="E7" s="53"/>
      <c r="F7" s="53"/>
      <c r="G7" s="53"/>
      <c r="H7" s="54"/>
      <c r="I7" s="22">
        <v>25</v>
      </c>
      <c r="J7" s="26">
        <f>SUMIF(I19:I134, A7, K19:K134)</f>
        <v>7.75</v>
      </c>
      <c r="K7" s="26">
        <f>ABS(I7-J7)</f>
        <v>17.25</v>
      </c>
    </row>
    <row r="8" spans="1:11" ht="25.15" customHeight="1">
      <c r="A8" s="12">
        <v>4</v>
      </c>
      <c r="B8" s="37" t="s">
        <v>9</v>
      </c>
      <c r="C8" s="53"/>
      <c r="D8" s="53"/>
      <c r="E8" s="53"/>
      <c r="F8" s="53"/>
      <c r="G8" s="53"/>
      <c r="H8" s="54"/>
      <c r="I8" s="22">
        <v>25</v>
      </c>
      <c r="J8" s="26">
        <f>SUMIF(I19:I134, A8, K19:K134)</f>
        <v>10</v>
      </c>
      <c r="K8" s="26">
        <f>ABS(I8-J8)</f>
        <v>15</v>
      </c>
    </row>
    <row r="9" spans="1:11" ht="25.15" customHeight="1">
      <c r="A9" s="27">
        <v>5</v>
      </c>
      <c r="B9" s="46" t="s">
        <v>10</v>
      </c>
      <c r="C9" s="55"/>
      <c r="D9" s="55"/>
      <c r="E9" s="55"/>
      <c r="F9" s="55"/>
      <c r="G9" s="55"/>
      <c r="H9" s="56"/>
      <c r="I9" s="28">
        <v>40</v>
      </c>
      <c r="J9" s="28">
        <f>SUMIF(I19:I134, A9, K19:K134)</f>
        <v>20.75</v>
      </c>
      <c r="K9" s="28">
        <f>ABS(I9-J9)</f>
        <v>19.25</v>
      </c>
    </row>
    <row r="10" spans="1:11" ht="25.15" customHeight="1" thickBot="1">
      <c r="C10" s="1"/>
      <c r="E10" s="29"/>
      <c r="I10" s="44" t="s">
        <v>11</v>
      </c>
      <c r="J10" s="45"/>
      <c r="K10" s="28">
        <f>SUM(K5:K9)</f>
        <v>60</v>
      </c>
    </row>
    <row r="11" spans="1:11" ht="19.899999999999999" customHeight="1">
      <c r="C11" s="1"/>
      <c r="E11" s="29"/>
      <c r="I11" s="11"/>
      <c r="J11" s="11"/>
    </row>
    <row r="12" spans="1:11" ht="19.899999999999999" customHeight="1" thickBot="1">
      <c r="C12" s="1"/>
      <c r="E12" s="29"/>
      <c r="I12" s="11"/>
      <c r="J12" s="1"/>
    </row>
    <row r="13" spans="1:11" ht="34.9" customHeight="1">
      <c r="A13" s="38" t="s">
        <v>12</v>
      </c>
      <c r="B13" s="39"/>
      <c r="C13" s="39"/>
      <c r="D13" s="39"/>
      <c r="E13" s="39"/>
      <c r="F13" s="39"/>
      <c r="G13" s="39"/>
      <c r="H13" s="39"/>
      <c r="I13" s="39"/>
      <c r="J13" s="39"/>
      <c r="K13" s="40"/>
    </row>
    <row r="14" spans="1:11" ht="34.9" customHeight="1">
      <c r="A14" s="9" t="s">
        <v>13</v>
      </c>
      <c r="B14" s="41" t="s">
        <v>14</v>
      </c>
      <c r="C14" s="42"/>
      <c r="D14" s="42"/>
      <c r="E14" s="42"/>
      <c r="F14" s="42"/>
      <c r="G14" s="42"/>
      <c r="H14" s="42"/>
      <c r="I14" s="42"/>
      <c r="J14" s="43"/>
      <c r="K14" s="9" t="s">
        <v>15</v>
      </c>
    </row>
    <row r="15" spans="1:11" ht="25.15" customHeight="1">
      <c r="A15" s="12" t="s">
        <v>16</v>
      </c>
      <c r="B15" s="37" t="s">
        <v>17</v>
      </c>
      <c r="C15" s="53"/>
      <c r="D15" s="53"/>
      <c r="E15" s="53"/>
      <c r="F15" s="53"/>
      <c r="G15" s="53"/>
      <c r="H15" s="53"/>
      <c r="I15" s="53"/>
      <c r="J15" s="57"/>
      <c r="K15" s="22">
        <v>23</v>
      </c>
    </row>
    <row r="16" spans="1:11" ht="25.15" customHeight="1">
      <c r="A16" s="12" t="s">
        <v>18</v>
      </c>
      <c r="B16" s="37" t="s">
        <v>19</v>
      </c>
      <c r="C16" s="53"/>
      <c r="D16" s="53"/>
      <c r="E16" s="53"/>
      <c r="F16" s="53"/>
      <c r="G16" s="53"/>
      <c r="H16" s="53"/>
      <c r="I16" s="53"/>
      <c r="J16" s="57"/>
      <c r="K16" s="22">
        <v>17</v>
      </c>
    </row>
    <row r="17" spans="1:18" ht="19.899999999999999" customHeight="1">
      <c r="B17" s="16"/>
      <c r="F17" s="7"/>
      <c r="G17" s="8"/>
      <c r="H17" s="8"/>
      <c r="I17" s="8"/>
      <c r="J17" s="2"/>
      <c r="K17" s="18"/>
    </row>
    <row r="18" spans="1:18" ht="19.899999999999999" customHeight="1" thickBot="1">
      <c r="B18" s="17"/>
      <c r="C18" s="2"/>
      <c r="H18" s="2"/>
      <c r="I18" s="2"/>
      <c r="J18" s="2"/>
      <c r="K18" s="19"/>
    </row>
    <row r="19" spans="1:18" ht="66.599999999999994" thickBot="1">
      <c r="A19" s="3" t="s">
        <v>20</v>
      </c>
      <c r="B19" s="3" t="s">
        <v>21</v>
      </c>
      <c r="C19" s="3" t="s">
        <v>22</v>
      </c>
      <c r="D19" s="3" t="s">
        <v>23</v>
      </c>
      <c r="E19" s="3" t="s">
        <v>24</v>
      </c>
      <c r="F19" s="3" t="s">
        <v>25</v>
      </c>
      <c r="G19" s="3" t="s">
        <v>26</v>
      </c>
      <c r="H19" s="3" t="s">
        <v>27</v>
      </c>
      <c r="I19" s="3" t="s">
        <v>28</v>
      </c>
      <c r="J19" s="3" t="s">
        <v>29</v>
      </c>
      <c r="K19" s="3" t="s">
        <v>30</v>
      </c>
      <c r="L19" s="4" t="s">
        <v>31</v>
      </c>
      <c r="M19" s="15" t="s">
        <v>32</v>
      </c>
      <c r="N19" s="6">
        <f>SUM(K20:K86)</f>
        <v>23</v>
      </c>
      <c r="O19" t="s">
        <v>33</v>
      </c>
      <c r="P19" t="s">
        <v>34</v>
      </c>
      <c r="Q19" t="s">
        <v>35</v>
      </c>
      <c r="R19" t="s">
        <v>36</v>
      </c>
    </row>
    <row r="20" spans="1:18">
      <c r="A20" s="12" t="s">
        <v>37</v>
      </c>
      <c r="B20" s="21" t="s">
        <v>38</v>
      </c>
      <c r="C20" s="12" t="s">
        <v>39</v>
      </c>
      <c r="D20" s="21" t="s">
        <v>40</v>
      </c>
      <c r="E20" s="31" t="s">
        <v>40</v>
      </c>
      <c r="F20" s="21" t="s">
        <v>40</v>
      </c>
      <c r="G20" s="21" t="s">
        <v>40</v>
      </c>
      <c r="H20" s="21" t="s">
        <v>40</v>
      </c>
      <c r="I20" s="21" t="s">
        <v>40</v>
      </c>
      <c r="J20" s="21" t="s">
        <v>40</v>
      </c>
      <c r="K20" s="21" t="s">
        <v>40</v>
      </c>
    </row>
    <row r="21" spans="1:18">
      <c r="A21" s="12" t="s">
        <v>40</v>
      </c>
      <c r="B21" s="21" t="s">
        <v>40</v>
      </c>
      <c r="C21" s="12" t="s">
        <v>40</v>
      </c>
      <c r="D21" s="12" t="s">
        <v>41</v>
      </c>
      <c r="E21" s="31" t="s">
        <v>42</v>
      </c>
      <c r="F21" s="12" t="s">
        <v>40</v>
      </c>
      <c r="G21" s="21" t="s">
        <v>40</v>
      </c>
      <c r="H21" s="21" t="s">
        <v>40</v>
      </c>
      <c r="I21" s="12">
        <v>5</v>
      </c>
      <c r="J21" s="12">
        <v>1</v>
      </c>
      <c r="K21" s="22">
        <v>0.25</v>
      </c>
      <c r="L21" s="2"/>
      <c r="O21">
        <v>0</v>
      </c>
      <c r="P21">
        <v>0.25</v>
      </c>
      <c r="Q21">
        <v>0</v>
      </c>
      <c r="R21">
        <v>0</v>
      </c>
    </row>
    <row r="22" spans="1:18">
      <c r="A22" s="12" t="s">
        <v>40</v>
      </c>
      <c r="B22" s="21" t="s">
        <v>40</v>
      </c>
      <c r="C22" s="12" t="s">
        <v>40</v>
      </c>
      <c r="D22" s="12" t="s">
        <v>41</v>
      </c>
      <c r="E22" s="31" t="s">
        <v>43</v>
      </c>
      <c r="F22" s="12" t="s">
        <v>40</v>
      </c>
      <c r="G22" s="21" t="s">
        <v>40</v>
      </c>
      <c r="H22" s="21" t="s">
        <v>40</v>
      </c>
      <c r="I22" s="12">
        <v>5</v>
      </c>
      <c r="J22" s="12">
        <v>1</v>
      </c>
      <c r="K22" s="22">
        <v>0.5</v>
      </c>
      <c r="L22" s="2"/>
      <c r="O22">
        <v>0</v>
      </c>
      <c r="P22">
        <v>0.5</v>
      </c>
      <c r="Q22">
        <v>0</v>
      </c>
      <c r="R22">
        <v>0</v>
      </c>
    </row>
    <row r="23" spans="1:18">
      <c r="A23" s="12" t="s">
        <v>40</v>
      </c>
      <c r="B23" s="21" t="s">
        <v>40</v>
      </c>
      <c r="C23" s="12" t="s">
        <v>40</v>
      </c>
      <c r="D23" s="12" t="s">
        <v>41</v>
      </c>
      <c r="E23" s="31" t="s">
        <v>44</v>
      </c>
      <c r="F23" s="12" t="s">
        <v>40</v>
      </c>
      <c r="G23" s="21" t="s">
        <v>45</v>
      </c>
      <c r="H23" s="21" t="s">
        <v>40</v>
      </c>
      <c r="I23" s="12">
        <v>2</v>
      </c>
      <c r="J23" s="12">
        <v>1</v>
      </c>
      <c r="K23" s="22">
        <v>0.25</v>
      </c>
      <c r="L23" s="2"/>
      <c r="O23">
        <v>0</v>
      </c>
      <c r="P23">
        <v>0.25</v>
      </c>
      <c r="Q23">
        <v>0.25</v>
      </c>
      <c r="R23">
        <v>0</v>
      </c>
    </row>
    <row r="24" spans="1:18">
      <c r="A24" s="12" t="s">
        <v>40</v>
      </c>
      <c r="B24" s="21" t="s">
        <v>40</v>
      </c>
      <c r="C24" s="12" t="s">
        <v>40</v>
      </c>
      <c r="D24" s="12" t="s">
        <v>41</v>
      </c>
      <c r="E24" s="31" t="s">
        <v>46</v>
      </c>
      <c r="F24" s="12" t="s">
        <v>40</v>
      </c>
      <c r="G24" s="21" t="s">
        <v>47</v>
      </c>
      <c r="H24" s="21" t="s">
        <v>40</v>
      </c>
      <c r="I24" s="12">
        <v>2</v>
      </c>
      <c r="J24" s="12">
        <v>1</v>
      </c>
      <c r="K24" s="22">
        <v>0.25</v>
      </c>
      <c r="L24" s="2"/>
      <c r="O24">
        <v>0</v>
      </c>
      <c r="P24">
        <v>0.25</v>
      </c>
      <c r="Q24">
        <v>0</v>
      </c>
      <c r="R24">
        <v>0</v>
      </c>
    </row>
    <row r="25" spans="1:18">
      <c r="A25" s="12" t="s">
        <v>48</v>
      </c>
      <c r="B25" s="35" t="s">
        <v>49</v>
      </c>
      <c r="C25" s="12" t="s">
        <v>39</v>
      </c>
      <c r="D25" s="21" t="s">
        <v>40</v>
      </c>
      <c r="E25" s="31" t="s">
        <v>40</v>
      </c>
      <c r="F25" s="21" t="s">
        <v>40</v>
      </c>
      <c r="G25" s="21" t="s">
        <v>40</v>
      </c>
      <c r="H25" s="21" t="s">
        <v>40</v>
      </c>
      <c r="I25" s="21" t="s">
        <v>40</v>
      </c>
      <c r="J25" s="21" t="s">
        <v>40</v>
      </c>
      <c r="K25" s="21" t="s">
        <v>40</v>
      </c>
    </row>
    <row r="26" spans="1:18">
      <c r="A26" s="12" t="s">
        <v>40</v>
      </c>
      <c r="B26" s="21" t="s">
        <v>40</v>
      </c>
      <c r="C26" s="12" t="s">
        <v>40</v>
      </c>
      <c r="D26" s="12" t="s">
        <v>41</v>
      </c>
      <c r="E26" s="31" t="s">
        <v>50</v>
      </c>
      <c r="F26" s="12" t="s">
        <v>40</v>
      </c>
      <c r="G26" s="21" t="s">
        <v>51</v>
      </c>
      <c r="H26" s="21" t="s">
        <v>40</v>
      </c>
      <c r="I26" s="12">
        <v>5</v>
      </c>
      <c r="J26" s="12">
        <v>2</v>
      </c>
      <c r="K26" s="22">
        <v>0.75</v>
      </c>
      <c r="L26" s="2"/>
      <c r="O26">
        <v>0</v>
      </c>
      <c r="P26">
        <v>0.75</v>
      </c>
      <c r="Q26">
        <v>0.25</v>
      </c>
      <c r="R26">
        <v>0</v>
      </c>
    </row>
    <row r="27" spans="1:18">
      <c r="A27" s="12" t="s">
        <v>40</v>
      </c>
      <c r="B27" s="21" t="s">
        <v>40</v>
      </c>
      <c r="C27" s="12" t="s">
        <v>40</v>
      </c>
      <c r="D27" s="12" t="s">
        <v>41</v>
      </c>
      <c r="E27" s="31" t="s">
        <v>52</v>
      </c>
      <c r="F27" s="12" t="s">
        <v>40</v>
      </c>
      <c r="G27" s="21" t="s">
        <v>40</v>
      </c>
      <c r="H27" s="21" t="s">
        <v>40</v>
      </c>
      <c r="I27" s="12">
        <v>2</v>
      </c>
      <c r="J27" s="12">
        <v>1</v>
      </c>
      <c r="K27" s="22">
        <v>0.5</v>
      </c>
      <c r="L27" s="2"/>
      <c r="O27">
        <v>0</v>
      </c>
      <c r="P27">
        <v>0.5</v>
      </c>
      <c r="Q27">
        <v>0</v>
      </c>
      <c r="R27">
        <v>0</v>
      </c>
    </row>
    <row r="28" spans="1:18">
      <c r="A28" s="12" t="s">
        <v>40</v>
      </c>
      <c r="B28" s="21" t="s">
        <v>40</v>
      </c>
      <c r="C28" s="12" t="s">
        <v>40</v>
      </c>
      <c r="D28" s="12" t="s">
        <v>41</v>
      </c>
      <c r="E28" s="31" t="s">
        <v>53</v>
      </c>
      <c r="F28" s="12" t="s">
        <v>40</v>
      </c>
      <c r="G28" s="21" t="s">
        <v>40</v>
      </c>
      <c r="H28" s="21" t="s">
        <v>40</v>
      </c>
      <c r="I28" s="12">
        <v>5</v>
      </c>
      <c r="J28" s="12">
        <v>1</v>
      </c>
      <c r="K28" s="22">
        <v>0.25</v>
      </c>
      <c r="L28" s="2"/>
      <c r="O28">
        <v>0</v>
      </c>
      <c r="P28">
        <v>0.25</v>
      </c>
      <c r="Q28">
        <v>0.25</v>
      </c>
      <c r="R28">
        <v>0</v>
      </c>
    </row>
    <row r="29" spans="1:18">
      <c r="A29" s="12" t="s">
        <v>40</v>
      </c>
      <c r="B29" s="21" t="s">
        <v>40</v>
      </c>
      <c r="C29" s="12" t="s">
        <v>40</v>
      </c>
      <c r="D29" s="12" t="s">
        <v>54</v>
      </c>
      <c r="E29" s="31" t="s">
        <v>55</v>
      </c>
      <c r="F29" s="12" t="s">
        <v>40</v>
      </c>
      <c r="G29" s="21" t="s">
        <v>40</v>
      </c>
      <c r="H29" s="21" t="s">
        <v>40</v>
      </c>
      <c r="I29" s="12">
        <v>5</v>
      </c>
      <c r="J29" s="12"/>
      <c r="K29" s="22">
        <v>0.5</v>
      </c>
      <c r="L29" s="2"/>
      <c r="M29" s="33"/>
      <c r="O29">
        <v>0</v>
      </c>
      <c r="P29">
        <v>0.3</v>
      </c>
      <c r="Q29">
        <v>0.33</v>
      </c>
      <c r="R29">
        <v>0</v>
      </c>
    </row>
    <row r="30" spans="1:18">
      <c r="A30" s="12" t="s">
        <v>40</v>
      </c>
      <c r="B30" s="21" t="s">
        <v>40</v>
      </c>
      <c r="C30" s="12" t="s">
        <v>40</v>
      </c>
      <c r="D30" s="12" t="s">
        <v>40</v>
      </c>
      <c r="E30" s="31" t="s">
        <v>40</v>
      </c>
      <c r="F30" s="12">
        <v>0</v>
      </c>
      <c r="G30" s="21" t="s">
        <v>56</v>
      </c>
      <c r="H30" s="21" t="s">
        <v>40</v>
      </c>
      <c r="I30" s="12"/>
      <c r="J30" s="12"/>
      <c r="K30" s="22"/>
    </row>
    <row r="31" spans="1:18">
      <c r="A31" s="12" t="s">
        <v>40</v>
      </c>
      <c r="B31" s="21" t="s">
        <v>40</v>
      </c>
      <c r="C31" s="12" t="s">
        <v>40</v>
      </c>
      <c r="D31" s="12" t="s">
        <v>40</v>
      </c>
      <c r="E31" s="31" t="s">
        <v>40</v>
      </c>
      <c r="F31" s="12">
        <v>1</v>
      </c>
      <c r="G31" s="21" t="s">
        <v>57</v>
      </c>
      <c r="H31" s="21" t="s">
        <v>40</v>
      </c>
      <c r="I31" s="12"/>
      <c r="J31" s="12"/>
      <c r="K31" s="22"/>
    </row>
    <row r="32" spans="1:18">
      <c r="A32" s="12" t="s">
        <v>40</v>
      </c>
      <c r="B32" s="21" t="s">
        <v>40</v>
      </c>
      <c r="C32" s="12" t="s">
        <v>40</v>
      </c>
      <c r="D32" s="12" t="s">
        <v>40</v>
      </c>
      <c r="E32" s="31" t="s">
        <v>40</v>
      </c>
      <c r="F32" s="12">
        <v>2</v>
      </c>
      <c r="G32" s="21" t="s">
        <v>58</v>
      </c>
      <c r="H32" s="21" t="s">
        <v>40</v>
      </c>
      <c r="I32" s="12"/>
      <c r="J32" s="12"/>
      <c r="K32" s="22"/>
    </row>
    <row r="33" spans="1:18">
      <c r="A33" s="12" t="s">
        <v>40</v>
      </c>
      <c r="B33" s="21" t="s">
        <v>40</v>
      </c>
      <c r="C33" s="12" t="s">
        <v>40</v>
      </c>
      <c r="D33" s="12" t="s">
        <v>40</v>
      </c>
      <c r="E33" s="31" t="s">
        <v>40</v>
      </c>
      <c r="F33" s="12">
        <v>3</v>
      </c>
      <c r="G33" s="21" t="s">
        <v>59</v>
      </c>
      <c r="H33" s="21" t="s">
        <v>40</v>
      </c>
      <c r="I33" s="12"/>
      <c r="J33" s="12"/>
      <c r="K33" s="22"/>
    </row>
    <row r="34" spans="1:18">
      <c r="A34" s="12" t="s">
        <v>40</v>
      </c>
      <c r="B34" s="21" t="s">
        <v>40</v>
      </c>
      <c r="C34" s="12" t="s">
        <v>40</v>
      </c>
      <c r="D34" s="12" t="s">
        <v>54</v>
      </c>
      <c r="E34" s="31" t="s">
        <v>60</v>
      </c>
      <c r="F34" s="12" t="s">
        <v>40</v>
      </c>
      <c r="G34" s="21" t="s">
        <v>40</v>
      </c>
      <c r="H34" s="21" t="s">
        <v>40</v>
      </c>
      <c r="I34" s="12">
        <v>5</v>
      </c>
      <c r="J34" s="12"/>
      <c r="K34" s="22">
        <v>0.5</v>
      </c>
      <c r="L34" s="34"/>
      <c r="O34">
        <v>0</v>
      </c>
      <c r="P34">
        <v>0.22</v>
      </c>
      <c r="Q34">
        <v>0.16</v>
      </c>
      <c r="R34">
        <v>0</v>
      </c>
    </row>
    <row r="35" spans="1:18">
      <c r="A35" s="12" t="s">
        <v>40</v>
      </c>
      <c r="B35" s="21" t="s">
        <v>40</v>
      </c>
      <c r="C35" s="12" t="s">
        <v>40</v>
      </c>
      <c r="D35" s="12" t="s">
        <v>40</v>
      </c>
      <c r="E35" s="31" t="s">
        <v>40</v>
      </c>
      <c r="F35" s="12">
        <v>0</v>
      </c>
      <c r="G35" s="21" t="s">
        <v>61</v>
      </c>
      <c r="H35" s="21" t="s">
        <v>40</v>
      </c>
      <c r="I35" s="12"/>
      <c r="J35" s="12"/>
      <c r="K35" s="22"/>
    </row>
    <row r="36" spans="1:18">
      <c r="A36" s="12" t="s">
        <v>40</v>
      </c>
      <c r="B36" s="21" t="s">
        <v>40</v>
      </c>
      <c r="C36" s="12" t="s">
        <v>40</v>
      </c>
      <c r="D36" s="12" t="s">
        <v>40</v>
      </c>
      <c r="E36" s="31" t="s">
        <v>40</v>
      </c>
      <c r="F36" s="12">
        <v>1</v>
      </c>
      <c r="G36" s="21" t="s">
        <v>62</v>
      </c>
      <c r="H36" s="21" t="s">
        <v>40</v>
      </c>
      <c r="I36" s="12"/>
      <c r="J36" s="12"/>
      <c r="K36" s="22"/>
    </row>
    <row r="37" spans="1:18">
      <c r="A37" s="12" t="s">
        <v>40</v>
      </c>
      <c r="B37" s="21" t="s">
        <v>40</v>
      </c>
      <c r="C37" s="12" t="s">
        <v>40</v>
      </c>
      <c r="D37" s="12" t="s">
        <v>40</v>
      </c>
      <c r="E37" s="31" t="s">
        <v>40</v>
      </c>
      <c r="F37" s="12">
        <v>2</v>
      </c>
      <c r="G37" s="21" t="s">
        <v>63</v>
      </c>
      <c r="H37" s="21" t="s">
        <v>40</v>
      </c>
      <c r="I37" s="12"/>
      <c r="J37" s="12"/>
      <c r="K37" s="22"/>
    </row>
    <row r="38" spans="1:18">
      <c r="A38" s="12" t="s">
        <v>40</v>
      </c>
      <c r="B38" s="21" t="s">
        <v>40</v>
      </c>
      <c r="C38" s="12" t="s">
        <v>40</v>
      </c>
      <c r="D38" s="12" t="s">
        <v>40</v>
      </c>
      <c r="E38" s="31" t="s">
        <v>40</v>
      </c>
      <c r="F38" s="12">
        <v>3</v>
      </c>
      <c r="G38" s="21" t="s">
        <v>64</v>
      </c>
      <c r="H38" s="21" t="s">
        <v>40</v>
      </c>
      <c r="I38" s="12"/>
      <c r="J38" s="12"/>
      <c r="K38" s="22"/>
    </row>
    <row r="39" spans="1:18" ht="12.75">
      <c r="A39" s="12" t="s">
        <v>65</v>
      </c>
      <c r="B39" s="35" t="s">
        <v>66</v>
      </c>
      <c r="C39" s="12" t="s">
        <v>39</v>
      </c>
      <c r="D39" s="21" t="s">
        <v>40</v>
      </c>
      <c r="E39" s="31" t="s">
        <v>40</v>
      </c>
      <c r="F39" s="21" t="s">
        <v>40</v>
      </c>
      <c r="G39" s="21" t="s">
        <v>40</v>
      </c>
      <c r="H39" s="21" t="s">
        <v>40</v>
      </c>
      <c r="I39" s="21" t="s">
        <v>40</v>
      </c>
      <c r="J39" s="21" t="s">
        <v>40</v>
      </c>
      <c r="K39" s="21" t="s">
        <v>40</v>
      </c>
    </row>
    <row r="40" spans="1:18" ht="12.75">
      <c r="A40" s="12" t="s">
        <v>40</v>
      </c>
      <c r="B40" s="21" t="s">
        <v>40</v>
      </c>
      <c r="C40" s="12" t="s">
        <v>40</v>
      </c>
      <c r="D40" s="12" t="s">
        <v>41</v>
      </c>
      <c r="E40" s="31" t="s">
        <v>67</v>
      </c>
      <c r="F40" s="12" t="s">
        <v>40</v>
      </c>
      <c r="G40" s="21" t="s">
        <v>68</v>
      </c>
      <c r="H40" s="21" t="s">
        <v>40</v>
      </c>
      <c r="I40" s="12">
        <v>5</v>
      </c>
      <c r="J40" s="12">
        <v>2</v>
      </c>
      <c r="K40" s="22">
        <v>0.25</v>
      </c>
      <c r="L40" s="2"/>
      <c r="O40">
        <v>0</v>
      </c>
      <c r="P40">
        <v>0.25</v>
      </c>
      <c r="Q40">
        <v>0</v>
      </c>
      <c r="R40">
        <v>0</v>
      </c>
    </row>
    <row r="41" spans="1:18" ht="12.75">
      <c r="A41" s="12" t="s">
        <v>40</v>
      </c>
      <c r="B41" s="21" t="s">
        <v>40</v>
      </c>
      <c r="C41" s="12" t="s">
        <v>40</v>
      </c>
      <c r="D41" s="12" t="s">
        <v>41</v>
      </c>
      <c r="E41" s="31" t="s">
        <v>69</v>
      </c>
      <c r="F41" s="12" t="s">
        <v>40</v>
      </c>
      <c r="G41" s="21" t="s">
        <v>40</v>
      </c>
      <c r="H41" s="21" t="s">
        <v>40</v>
      </c>
      <c r="I41" s="12">
        <v>5</v>
      </c>
      <c r="J41" s="12">
        <v>1</v>
      </c>
      <c r="K41" s="22">
        <v>0.25</v>
      </c>
      <c r="L41" s="2"/>
      <c r="O41">
        <v>0</v>
      </c>
      <c r="P41">
        <v>0.25</v>
      </c>
      <c r="Q41">
        <v>0</v>
      </c>
      <c r="R41">
        <v>0</v>
      </c>
    </row>
    <row r="42" spans="1:18" ht="26.45">
      <c r="A42" s="12" t="s">
        <v>40</v>
      </c>
      <c r="B42" s="21" t="s">
        <v>40</v>
      </c>
      <c r="C42" s="12" t="s">
        <v>40</v>
      </c>
      <c r="D42" s="12" t="s">
        <v>41</v>
      </c>
      <c r="E42" s="31" t="s">
        <v>70</v>
      </c>
      <c r="F42" s="12" t="s">
        <v>40</v>
      </c>
      <c r="G42" s="21" t="s">
        <v>40</v>
      </c>
      <c r="H42" s="21" t="s">
        <v>40</v>
      </c>
      <c r="I42" s="12">
        <v>5</v>
      </c>
      <c r="J42" s="12">
        <v>1</v>
      </c>
      <c r="K42" s="22">
        <v>0.5</v>
      </c>
      <c r="L42" s="2"/>
      <c r="O42">
        <v>0</v>
      </c>
      <c r="P42">
        <v>0.5</v>
      </c>
      <c r="Q42">
        <v>0</v>
      </c>
      <c r="R42">
        <v>0</v>
      </c>
    </row>
    <row r="43" spans="1:18">
      <c r="A43" s="12" t="s">
        <v>40</v>
      </c>
      <c r="B43" s="21" t="s">
        <v>40</v>
      </c>
      <c r="C43" s="12" t="s">
        <v>40</v>
      </c>
      <c r="D43" s="12" t="s">
        <v>41</v>
      </c>
      <c r="E43" s="31" t="s">
        <v>71</v>
      </c>
      <c r="F43" s="12" t="s">
        <v>40</v>
      </c>
      <c r="G43" s="21" t="s">
        <v>40</v>
      </c>
      <c r="H43" s="21" t="s">
        <v>40</v>
      </c>
      <c r="I43" s="12">
        <v>5</v>
      </c>
      <c r="J43" s="12">
        <v>1</v>
      </c>
      <c r="K43" s="22">
        <v>0.5</v>
      </c>
      <c r="L43" s="2"/>
      <c r="O43">
        <v>0</v>
      </c>
      <c r="P43">
        <v>0.5</v>
      </c>
      <c r="Q43">
        <v>0</v>
      </c>
      <c r="R43">
        <v>0</v>
      </c>
    </row>
    <row r="44" spans="1:18">
      <c r="A44" s="12" t="s">
        <v>40</v>
      </c>
      <c r="B44" s="21" t="s">
        <v>40</v>
      </c>
      <c r="C44" s="12" t="s">
        <v>40</v>
      </c>
      <c r="D44" s="12" t="s">
        <v>41</v>
      </c>
      <c r="E44" s="31" t="s">
        <v>72</v>
      </c>
      <c r="F44" s="12" t="s">
        <v>40</v>
      </c>
      <c r="G44" s="21" t="s">
        <v>40</v>
      </c>
      <c r="H44" s="21" t="s">
        <v>40</v>
      </c>
      <c r="I44" s="12">
        <v>5</v>
      </c>
      <c r="J44" s="12">
        <v>1</v>
      </c>
      <c r="K44" s="22">
        <v>0.5</v>
      </c>
      <c r="L44" s="2"/>
      <c r="O44">
        <v>0</v>
      </c>
      <c r="P44">
        <v>0.5</v>
      </c>
      <c r="Q44">
        <v>0</v>
      </c>
      <c r="R44">
        <v>0</v>
      </c>
    </row>
    <row r="45" spans="1:18">
      <c r="A45" s="12" t="s">
        <v>40</v>
      </c>
      <c r="B45" s="21" t="s">
        <v>40</v>
      </c>
      <c r="C45" s="12" t="s">
        <v>40</v>
      </c>
      <c r="D45" s="12" t="s">
        <v>41</v>
      </c>
      <c r="E45" s="31" t="s">
        <v>73</v>
      </c>
      <c r="F45" s="12" t="s">
        <v>40</v>
      </c>
      <c r="G45" s="21" t="s">
        <v>40</v>
      </c>
      <c r="H45" s="21" t="s">
        <v>40</v>
      </c>
      <c r="I45" s="12">
        <v>5</v>
      </c>
      <c r="J45" s="12">
        <v>1</v>
      </c>
      <c r="K45" s="22">
        <v>0.25</v>
      </c>
      <c r="L45" s="2"/>
      <c r="O45">
        <v>0</v>
      </c>
      <c r="P45">
        <v>0.25</v>
      </c>
      <c r="Q45">
        <v>0</v>
      </c>
      <c r="R45">
        <v>0</v>
      </c>
    </row>
    <row r="46" spans="1:18">
      <c r="A46" s="12" t="s">
        <v>40</v>
      </c>
      <c r="B46" s="21" t="s">
        <v>40</v>
      </c>
      <c r="C46" s="12" t="s">
        <v>40</v>
      </c>
      <c r="D46" s="12" t="s">
        <v>41</v>
      </c>
      <c r="E46" s="31" t="s">
        <v>74</v>
      </c>
      <c r="F46" s="12" t="s">
        <v>40</v>
      </c>
      <c r="G46" s="35" t="s">
        <v>75</v>
      </c>
      <c r="H46" s="21" t="s">
        <v>40</v>
      </c>
      <c r="I46" s="12">
        <v>5</v>
      </c>
      <c r="J46" s="12">
        <v>2</v>
      </c>
      <c r="K46" s="22">
        <v>0.5</v>
      </c>
      <c r="L46" s="2"/>
      <c r="O46">
        <v>0</v>
      </c>
      <c r="P46">
        <v>0.5</v>
      </c>
      <c r="Q46">
        <v>0</v>
      </c>
      <c r="R46">
        <v>0</v>
      </c>
    </row>
    <row r="47" spans="1:18">
      <c r="A47" s="12" t="s">
        <v>40</v>
      </c>
      <c r="B47" s="21" t="s">
        <v>40</v>
      </c>
      <c r="C47" s="12" t="s">
        <v>40</v>
      </c>
      <c r="D47" s="12" t="s">
        <v>41</v>
      </c>
      <c r="E47" s="31" t="s">
        <v>76</v>
      </c>
      <c r="F47" s="12" t="s">
        <v>40</v>
      </c>
      <c r="G47" s="21" t="s">
        <v>40</v>
      </c>
      <c r="H47" s="21" t="s">
        <v>40</v>
      </c>
      <c r="I47" s="12">
        <v>5</v>
      </c>
      <c r="J47" s="12">
        <v>1</v>
      </c>
      <c r="K47" s="22">
        <v>0.5</v>
      </c>
      <c r="L47" s="2"/>
      <c r="O47">
        <v>0</v>
      </c>
      <c r="P47">
        <v>0.5</v>
      </c>
      <c r="Q47">
        <v>0</v>
      </c>
      <c r="R47">
        <v>0</v>
      </c>
    </row>
    <row r="48" spans="1:18" ht="12.75">
      <c r="A48" s="12" t="s">
        <v>40</v>
      </c>
      <c r="B48" s="21" t="s">
        <v>40</v>
      </c>
      <c r="C48" s="12" t="s">
        <v>40</v>
      </c>
      <c r="D48" s="12" t="s">
        <v>41</v>
      </c>
      <c r="E48" s="31" t="s">
        <v>77</v>
      </c>
      <c r="F48" s="12" t="s">
        <v>40</v>
      </c>
      <c r="G48" s="21" t="s">
        <v>40</v>
      </c>
      <c r="H48" s="21" t="s">
        <v>40</v>
      </c>
      <c r="I48" s="12">
        <v>5</v>
      </c>
      <c r="J48" s="12">
        <v>1</v>
      </c>
      <c r="K48" s="22">
        <v>0.25</v>
      </c>
      <c r="L48" s="2"/>
      <c r="O48">
        <v>0</v>
      </c>
      <c r="P48">
        <v>0.25</v>
      </c>
      <c r="Q48">
        <v>0</v>
      </c>
      <c r="R48">
        <v>0</v>
      </c>
    </row>
    <row r="49" spans="1:18" ht="12.75">
      <c r="A49" s="12" t="s">
        <v>40</v>
      </c>
      <c r="B49" s="21" t="s">
        <v>40</v>
      </c>
      <c r="C49" s="12" t="s">
        <v>40</v>
      </c>
      <c r="D49" s="12" t="s">
        <v>41</v>
      </c>
      <c r="E49" s="31" t="s">
        <v>78</v>
      </c>
      <c r="F49" s="12" t="s">
        <v>40</v>
      </c>
      <c r="G49" s="35" t="s">
        <v>79</v>
      </c>
      <c r="H49" s="21" t="s">
        <v>40</v>
      </c>
      <c r="I49" s="12">
        <v>5</v>
      </c>
      <c r="J49" s="12">
        <v>1</v>
      </c>
      <c r="K49" s="22">
        <v>0.25</v>
      </c>
      <c r="L49" s="2"/>
      <c r="O49">
        <v>0</v>
      </c>
      <c r="P49">
        <v>0.25</v>
      </c>
      <c r="Q49">
        <v>0</v>
      </c>
      <c r="R49">
        <v>0</v>
      </c>
    </row>
    <row r="50" spans="1:18" ht="12.75">
      <c r="A50" s="12" t="s">
        <v>80</v>
      </c>
      <c r="B50" s="35" t="s">
        <v>81</v>
      </c>
      <c r="C50" s="12" t="s">
        <v>39</v>
      </c>
      <c r="D50" s="21" t="s">
        <v>40</v>
      </c>
      <c r="E50" s="31" t="s">
        <v>40</v>
      </c>
      <c r="F50" s="21" t="s">
        <v>40</v>
      </c>
      <c r="G50" s="21" t="s">
        <v>40</v>
      </c>
      <c r="H50" s="21" t="s">
        <v>40</v>
      </c>
      <c r="I50" s="21" t="s">
        <v>40</v>
      </c>
      <c r="J50" s="21" t="s">
        <v>40</v>
      </c>
      <c r="K50" s="21" t="s">
        <v>40</v>
      </c>
    </row>
    <row r="51" spans="1:18">
      <c r="A51" s="12" t="s">
        <v>40</v>
      </c>
      <c r="B51" s="21" t="s">
        <v>40</v>
      </c>
      <c r="C51" s="12" t="s">
        <v>40</v>
      </c>
      <c r="D51" s="12" t="s">
        <v>41</v>
      </c>
      <c r="E51" s="31" t="s">
        <v>82</v>
      </c>
      <c r="F51" s="12" t="s">
        <v>40</v>
      </c>
      <c r="G51" s="35" t="s">
        <v>83</v>
      </c>
      <c r="H51" s="21" t="s">
        <v>40</v>
      </c>
      <c r="I51" s="12">
        <v>5</v>
      </c>
      <c r="J51" s="12">
        <v>1</v>
      </c>
      <c r="K51" s="22">
        <v>0.25</v>
      </c>
      <c r="L51" s="2"/>
      <c r="O51">
        <v>0</v>
      </c>
      <c r="P51">
        <v>0.25</v>
      </c>
      <c r="Q51">
        <v>0</v>
      </c>
      <c r="R51">
        <v>0</v>
      </c>
    </row>
    <row r="52" spans="1:18">
      <c r="A52" s="12" t="s">
        <v>40</v>
      </c>
      <c r="B52" s="21" t="s">
        <v>40</v>
      </c>
      <c r="C52" s="12" t="s">
        <v>40</v>
      </c>
      <c r="D52" s="12" t="s">
        <v>41</v>
      </c>
      <c r="E52" s="31" t="s">
        <v>84</v>
      </c>
      <c r="F52" s="12" t="s">
        <v>40</v>
      </c>
      <c r="G52" s="21" t="s">
        <v>40</v>
      </c>
      <c r="H52" s="21" t="s">
        <v>40</v>
      </c>
      <c r="I52" s="12">
        <v>5</v>
      </c>
      <c r="J52" s="12">
        <v>1</v>
      </c>
      <c r="K52" s="22">
        <v>0.5</v>
      </c>
      <c r="L52" s="2"/>
      <c r="O52">
        <v>0</v>
      </c>
      <c r="P52">
        <v>0.5</v>
      </c>
      <c r="Q52">
        <v>0</v>
      </c>
      <c r="R52">
        <v>0</v>
      </c>
    </row>
    <row r="53" spans="1:18" ht="12.75">
      <c r="A53" s="12" t="s">
        <v>40</v>
      </c>
      <c r="B53" s="21" t="s">
        <v>40</v>
      </c>
      <c r="C53" s="12" t="s">
        <v>40</v>
      </c>
      <c r="D53" s="12" t="s">
        <v>41</v>
      </c>
      <c r="E53" s="31" t="s">
        <v>85</v>
      </c>
      <c r="F53" s="12" t="s">
        <v>40</v>
      </c>
      <c r="G53" s="35" t="s">
        <v>86</v>
      </c>
      <c r="H53" s="21" t="s">
        <v>40</v>
      </c>
      <c r="I53" s="12">
        <v>5</v>
      </c>
      <c r="J53" s="12">
        <v>2</v>
      </c>
      <c r="K53" s="22">
        <v>0.5</v>
      </c>
      <c r="L53" s="2"/>
      <c r="O53">
        <v>0</v>
      </c>
      <c r="P53">
        <v>0</v>
      </c>
      <c r="Q53">
        <v>0</v>
      </c>
      <c r="R53">
        <v>0</v>
      </c>
    </row>
    <row r="54" spans="1:18">
      <c r="A54" s="12" t="s">
        <v>40</v>
      </c>
      <c r="B54" s="21" t="s">
        <v>40</v>
      </c>
      <c r="C54" s="12" t="s">
        <v>40</v>
      </c>
      <c r="D54" s="12" t="s">
        <v>41</v>
      </c>
      <c r="E54" s="31" t="s">
        <v>87</v>
      </c>
      <c r="F54" s="12" t="s">
        <v>40</v>
      </c>
      <c r="G54" s="21" t="s">
        <v>40</v>
      </c>
      <c r="H54" s="21" t="s">
        <v>40</v>
      </c>
      <c r="I54" s="12">
        <v>5</v>
      </c>
      <c r="J54" s="12">
        <v>1</v>
      </c>
      <c r="K54" s="22">
        <v>0.5</v>
      </c>
      <c r="L54" s="2"/>
      <c r="O54">
        <v>0</v>
      </c>
      <c r="P54">
        <v>0.5</v>
      </c>
      <c r="Q54">
        <v>0</v>
      </c>
      <c r="R54">
        <v>0</v>
      </c>
    </row>
    <row r="55" spans="1:18">
      <c r="A55" s="12" t="s">
        <v>40</v>
      </c>
      <c r="B55" s="21" t="s">
        <v>40</v>
      </c>
      <c r="C55" s="12" t="s">
        <v>40</v>
      </c>
      <c r="D55" s="12" t="s">
        <v>41</v>
      </c>
      <c r="E55" s="31" t="s">
        <v>88</v>
      </c>
      <c r="F55" s="12" t="s">
        <v>40</v>
      </c>
      <c r="G55" s="35" t="s">
        <v>89</v>
      </c>
      <c r="H55" s="21" t="s">
        <v>40</v>
      </c>
      <c r="I55" s="12">
        <v>5</v>
      </c>
      <c r="J55" s="12">
        <v>3</v>
      </c>
      <c r="K55" s="22">
        <v>0.75</v>
      </c>
      <c r="L55" s="2"/>
      <c r="O55">
        <v>0</v>
      </c>
      <c r="P55">
        <v>0.75</v>
      </c>
      <c r="Q55">
        <v>0</v>
      </c>
      <c r="R55">
        <v>0</v>
      </c>
    </row>
    <row r="56" spans="1:18">
      <c r="A56" s="12" t="s">
        <v>40</v>
      </c>
      <c r="B56" s="21" t="s">
        <v>40</v>
      </c>
      <c r="C56" s="12" t="s">
        <v>40</v>
      </c>
      <c r="D56" s="12" t="s">
        <v>41</v>
      </c>
      <c r="E56" s="31" t="s">
        <v>90</v>
      </c>
      <c r="F56" s="12" t="s">
        <v>40</v>
      </c>
      <c r="G56" s="21" t="s">
        <v>40</v>
      </c>
      <c r="H56" s="21" t="s">
        <v>40</v>
      </c>
      <c r="I56" s="12">
        <v>5</v>
      </c>
      <c r="J56" s="12">
        <v>1</v>
      </c>
      <c r="K56" s="22">
        <v>0.25</v>
      </c>
      <c r="L56" s="2"/>
      <c r="O56">
        <v>0</v>
      </c>
      <c r="P56">
        <v>0</v>
      </c>
      <c r="Q56">
        <v>0</v>
      </c>
      <c r="R56">
        <v>0</v>
      </c>
    </row>
    <row r="57" spans="1:18">
      <c r="A57" s="12" t="s">
        <v>40</v>
      </c>
      <c r="B57" s="21" t="s">
        <v>40</v>
      </c>
      <c r="C57" s="12" t="s">
        <v>40</v>
      </c>
      <c r="D57" s="12" t="s">
        <v>41</v>
      </c>
      <c r="E57" s="31" t="s">
        <v>91</v>
      </c>
      <c r="F57" s="12" t="s">
        <v>40</v>
      </c>
      <c r="G57" s="21" t="s">
        <v>40</v>
      </c>
      <c r="H57" s="21" t="s">
        <v>40</v>
      </c>
      <c r="I57" s="12">
        <v>5</v>
      </c>
      <c r="J57" s="12">
        <v>1</v>
      </c>
      <c r="K57" s="22">
        <v>0.5</v>
      </c>
      <c r="L57" s="2"/>
      <c r="O57">
        <v>0</v>
      </c>
      <c r="P57">
        <v>0.5</v>
      </c>
      <c r="Q57">
        <v>0</v>
      </c>
      <c r="R57">
        <v>0</v>
      </c>
    </row>
    <row r="58" spans="1:18" ht="12.75">
      <c r="A58" s="12" t="s">
        <v>40</v>
      </c>
      <c r="B58" s="21" t="s">
        <v>40</v>
      </c>
      <c r="C58" s="12" t="s">
        <v>40</v>
      </c>
      <c r="D58" s="12" t="s">
        <v>41</v>
      </c>
      <c r="E58" s="31" t="s">
        <v>92</v>
      </c>
      <c r="F58" s="12" t="s">
        <v>40</v>
      </c>
      <c r="G58" s="21" t="s">
        <v>40</v>
      </c>
      <c r="H58" s="21" t="s">
        <v>40</v>
      </c>
      <c r="I58" s="14">
        <v>5</v>
      </c>
      <c r="J58" s="12">
        <v>1</v>
      </c>
      <c r="K58" s="22">
        <v>0.25</v>
      </c>
      <c r="L58" s="2"/>
      <c r="O58">
        <v>0</v>
      </c>
      <c r="P58">
        <v>0.25</v>
      </c>
      <c r="Q58">
        <v>0</v>
      </c>
      <c r="R58">
        <v>0</v>
      </c>
    </row>
    <row r="59" spans="1:18" ht="12.75">
      <c r="A59" s="12" t="s">
        <v>40</v>
      </c>
      <c r="B59" s="21" t="s">
        <v>40</v>
      </c>
      <c r="C59" s="12" t="s">
        <v>40</v>
      </c>
      <c r="D59" s="12" t="s">
        <v>41</v>
      </c>
      <c r="E59" s="31" t="s">
        <v>93</v>
      </c>
      <c r="F59" s="12" t="s">
        <v>40</v>
      </c>
      <c r="G59" s="21" t="s">
        <v>40</v>
      </c>
      <c r="H59" s="21" t="s">
        <v>40</v>
      </c>
      <c r="I59" s="12">
        <v>5</v>
      </c>
      <c r="J59" s="12">
        <v>1</v>
      </c>
      <c r="K59" s="22">
        <v>0.5</v>
      </c>
      <c r="L59" s="2"/>
      <c r="O59">
        <v>0</v>
      </c>
      <c r="P59">
        <v>0.5</v>
      </c>
      <c r="Q59">
        <v>0</v>
      </c>
      <c r="R59">
        <v>0</v>
      </c>
    </row>
    <row r="60" spans="1:18" ht="12.75">
      <c r="A60" s="12" t="s">
        <v>40</v>
      </c>
      <c r="B60" s="21" t="s">
        <v>40</v>
      </c>
      <c r="C60" s="12" t="s">
        <v>40</v>
      </c>
      <c r="D60" s="12" t="s">
        <v>41</v>
      </c>
      <c r="E60" s="31" t="s">
        <v>94</v>
      </c>
      <c r="F60" s="12" t="s">
        <v>40</v>
      </c>
      <c r="G60" s="35" t="s">
        <v>95</v>
      </c>
      <c r="H60" s="21" t="s">
        <v>40</v>
      </c>
      <c r="I60" s="12">
        <v>5</v>
      </c>
      <c r="J60" s="12">
        <v>1</v>
      </c>
      <c r="K60" s="22">
        <v>0.5</v>
      </c>
      <c r="L60" s="2"/>
      <c r="O60">
        <v>0</v>
      </c>
      <c r="P60">
        <v>0.5</v>
      </c>
      <c r="Q60">
        <v>0.5</v>
      </c>
      <c r="R60">
        <v>0</v>
      </c>
    </row>
    <row r="61" spans="1:18" ht="12.75">
      <c r="A61" s="12" t="s">
        <v>40</v>
      </c>
      <c r="B61" s="21" t="s">
        <v>40</v>
      </c>
      <c r="C61" s="12" t="s">
        <v>40</v>
      </c>
      <c r="D61" s="12" t="s">
        <v>41</v>
      </c>
      <c r="E61" s="31" t="s">
        <v>96</v>
      </c>
      <c r="F61" s="12" t="s">
        <v>40</v>
      </c>
      <c r="G61" s="35" t="s">
        <v>97</v>
      </c>
      <c r="H61" s="21" t="s">
        <v>40</v>
      </c>
      <c r="I61" s="12">
        <v>5</v>
      </c>
      <c r="J61" s="12">
        <v>1</v>
      </c>
      <c r="K61" s="22">
        <v>0.5</v>
      </c>
      <c r="L61" s="2"/>
      <c r="O61">
        <v>0</v>
      </c>
      <c r="P61">
        <v>0.5</v>
      </c>
      <c r="Q61">
        <v>0</v>
      </c>
      <c r="R61">
        <v>0</v>
      </c>
    </row>
    <row r="62" spans="1:18">
      <c r="A62" s="12" t="s">
        <v>40</v>
      </c>
      <c r="B62" s="21" t="s">
        <v>40</v>
      </c>
      <c r="C62" s="12" t="s">
        <v>40</v>
      </c>
      <c r="D62" s="12" t="s">
        <v>41</v>
      </c>
      <c r="E62" s="31" t="s">
        <v>98</v>
      </c>
      <c r="F62" s="12" t="s">
        <v>40</v>
      </c>
      <c r="G62" s="21" t="s">
        <v>40</v>
      </c>
      <c r="H62" s="21" t="s">
        <v>40</v>
      </c>
      <c r="I62" s="12">
        <v>5</v>
      </c>
      <c r="J62" s="12">
        <v>1</v>
      </c>
      <c r="K62" s="22">
        <v>1</v>
      </c>
      <c r="L62" s="2"/>
      <c r="O62">
        <v>0</v>
      </c>
      <c r="P62">
        <v>0</v>
      </c>
      <c r="Q62">
        <v>0</v>
      </c>
      <c r="R62">
        <v>0</v>
      </c>
    </row>
    <row r="63" spans="1:18">
      <c r="A63" s="12" t="s">
        <v>40</v>
      </c>
      <c r="B63" s="21" t="s">
        <v>40</v>
      </c>
      <c r="C63" s="12" t="s">
        <v>40</v>
      </c>
      <c r="D63" s="12" t="s">
        <v>41</v>
      </c>
      <c r="E63" s="31" t="s">
        <v>99</v>
      </c>
      <c r="F63" s="12" t="s">
        <v>40</v>
      </c>
      <c r="G63" s="21" t="s">
        <v>40</v>
      </c>
      <c r="H63" s="21" t="s">
        <v>40</v>
      </c>
      <c r="I63" s="12">
        <v>5</v>
      </c>
      <c r="J63" s="12">
        <v>1</v>
      </c>
      <c r="K63" s="22">
        <v>1</v>
      </c>
      <c r="L63" s="2"/>
      <c r="O63">
        <v>0</v>
      </c>
      <c r="P63">
        <v>0</v>
      </c>
      <c r="Q63">
        <v>0</v>
      </c>
      <c r="R63">
        <v>0</v>
      </c>
    </row>
    <row r="64" spans="1:18">
      <c r="A64" s="12" t="s">
        <v>40</v>
      </c>
      <c r="B64" s="21" t="s">
        <v>40</v>
      </c>
      <c r="C64" s="12" t="s">
        <v>40</v>
      </c>
      <c r="D64" s="12" t="s">
        <v>41</v>
      </c>
      <c r="E64" s="31" t="s">
        <v>100</v>
      </c>
      <c r="F64" s="12" t="s">
        <v>40</v>
      </c>
      <c r="G64" s="21" t="s">
        <v>40</v>
      </c>
      <c r="H64" s="21" t="s">
        <v>40</v>
      </c>
      <c r="I64" s="12">
        <v>5</v>
      </c>
      <c r="J64" s="12">
        <v>1</v>
      </c>
      <c r="K64" s="22">
        <v>0.5</v>
      </c>
      <c r="L64" s="2"/>
      <c r="O64">
        <v>0</v>
      </c>
      <c r="P64">
        <v>0</v>
      </c>
      <c r="Q64">
        <v>0</v>
      </c>
      <c r="R64">
        <v>0</v>
      </c>
    </row>
    <row r="65" spans="1:18">
      <c r="A65" s="12" t="s">
        <v>40</v>
      </c>
      <c r="B65" s="21" t="s">
        <v>40</v>
      </c>
      <c r="C65" s="12" t="s">
        <v>40</v>
      </c>
      <c r="D65" s="12" t="s">
        <v>41</v>
      </c>
      <c r="E65" s="31" t="s">
        <v>101</v>
      </c>
      <c r="F65" s="12" t="s">
        <v>40</v>
      </c>
      <c r="G65" s="21" t="s">
        <v>40</v>
      </c>
      <c r="H65" s="21" t="s">
        <v>40</v>
      </c>
      <c r="I65" s="12">
        <v>5</v>
      </c>
      <c r="J65" s="12">
        <v>1</v>
      </c>
      <c r="K65" s="22">
        <v>0.25</v>
      </c>
      <c r="L65" s="2"/>
      <c r="O65">
        <v>0</v>
      </c>
      <c r="P65">
        <v>0</v>
      </c>
      <c r="Q65">
        <v>0</v>
      </c>
      <c r="R65">
        <v>0</v>
      </c>
    </row>
    <row r="66" spans="1:18">
      <c r="A66" s="12" t="s">
        <v>102</v>
      </c>
      <c r="B66" s="35" t="s">
        <v>103</v>
      </c>
      <c r="C66" s="12" t="s">
        <v>39</v>
      </c>
      <c r="D66" s="21" t="s">
        <v>40</v>
      </c>
      <c r="E66" s="31" t="s">
        <v>40</v>
      </c>
      <c r="F66" s="21" t="s">
        <v>40</v>
      </c>
      <c r="G66" s="21" t="s">
        <v>40</v>
      </c>
      <c r="H66" s="21" t="s">
        <v>40</v>
      </c>
      <c r="I66" s="21" t="s">
        <v>40</v>
      </c>
      <c r="J66" s="21" t="s">
        <v>40</v>
      </c>
      <c r="K66" s="21" t="s">
        <v>40</v>
      </c>
    </row>
    <row r="67" spans="1:18" ht="12.75">
      <c r="A67" s="12" t="s">
        <v>40</v>
      </c>
      <c r="B67" s="21" t="s">
        <v>40</v>
      </c>
      <c r="C67" s="12" t="s">
        <v>40</v>
      </c>
      <c r="D67" s="12" t="s">
        <v>41</v>
      </c>
      <c r="E67" s="31" t="s">
        <v>104</v>
      </c>
      <c r="F67" s="12" t="s">
        <v>40</v>
      </c>
      <c r="G67" s="35" t="s">
        <v>105</v>
      </c>
      <c r="H67" s="21" t="s">
        <v>40</v>
      </c>
      <c r="I67" s="12">
        <v>5</v>
      </c>
      <c r="J67" s="12">
        <v>1</v>
      </c>
      <c r="K67" s="22">
        <v>0.25</v>
      </c>
      <c r="L67" s="2"/>
      <c r="O67">
        <v>0</v>
      </c>
      <c r="P67">
        <v>0</v>
      </c>
      <c r="Q67">
        <v>0</v>
      </c>
      <c r="R67">
        <v>0</v>
      </c>
    </row>
    <row r="68" spans="1:18">
      <c r="A68" s="12" t="s">
        <v>40</v>
      </c>
      <c r="B68" s="21" t="s">
        <v>40</v>
      </c>
      <c r="C68" s="12" t="s">
        <v>40</v>
      </c>
      <c r="D68" s="12" t="s">
        <v>41</v>
      </c>
      <c r="E68" s="36" t="s">
        <v>106</v>
      </c>
      <c r="F68" s="12" t="s">
        <v>40</v>
      </c>
      <c r="G68" s="35" t="s">
        <v>107</v>
      </c>
      <c r="H68" s="21" t="s">
        <v>40</v>
      </c>
      <c r="I68" s="12">
        <v>5</v>
      </c>
      <c r="J68" s="12">
        <v>2</v>
      </c>
      <c r="K68" s="22">
        <v>1</v>
      </c>
      <c r="L68" s="2"/>
      <c r="O68">
        <v>0</v>
      </c>
      <c r="P68">
        <v>0</v>
      </c>
      <c r="Q68">
        <v>0</v>
      </c>
      <c r="R68">
        <v>0</v>
      </c>
    </row>
    <row r="69" spans="1:18">
      <c r="A69" s="12" t="s">
        <v>40</v>
      </c>
      <c r="B69" s="21" t="s">
        <v>40</v>
      </c>
      <c r="C69" s="12" t="s">
        <v>40</v>
      </c>
      <c r="D69" s="12" t="s">
        <v>41</v>
      </c>
      <c r="E69" s="36" t="s">
        <v>108</v>
      </c>
      <c r="F69" s="12" t="s">
        <v>40</v>
      </c>
      <c r="G69" s="35" t="s">
        <v>109</v>
      </c>
      <c r="H69" s="21" t="s">
        <v>40</v>
      </c>
      <c r="I69" s="12">
        <v>5</v>
      </c>
      <c r="J69" s="12">
        <v>2</v>
      </c>
      <c r="K69" s="22">
        <v>0.5</v>
      </c>
      <c r="L69" s="2"/>
      <c r="O69">
        <v>0</v>
      </c>
      <c r="P69">
        <v>0</v>
      </c>
      <c r="Q69">
        <v>0</v>
      </c>
      <c r="R69">
        <v>0</v>
      </c>
    </row>
    <row r="70" spans="1:18">
      <c r="A70" s="12" t="s">
        <v>40</v>
      </c>
      <c r="B70" s="21" t="s">
        <v>40</v>
      </c>
      <c r="C70" s="12" t="s">
        <v>40</v>
      </c>
      <c r="D70" s="12" t="s">
        <v>41</v>
      </c>
      <c r="E70" s="36" t="s">
        <v>110</v>
      </c>
      <c r="F70" s="12" t="s">
        <v>40</v>
      </c>
      <c r="G70" s="21" t="s">
        <v>111</v>
      </c>
      <c r="H70" s="21" t="s">
        <v>40</v>
      </c>
      <c r="I70" s="12">
        <v>5</v>
      </c>
      <c r="J70" s="12">
        <v>1</v>
      </c>
      <c r="K70" s="22">
        <v>0.25</v>
      </c>
      <c r="L70" s="2"/>
      <c r="O70">
        <v>0</v>
      </c>
      <c r="P70">
        <v>0</v>
      </c>
      <c r="Q70">
        <v>0</v>
      </c>
      <c r="R70">
        <v>0</v>
      </c>
    </row>
    <row r="71" spans="1:18">
      <c r="A71" s="12" t="s">
        <v>40</v>
      </c>
      <c r="B71" s="21" t="s">
        <v>40</v>
      </c>
      <c r="C71" s="12" t="s">
        <v>40</v>
      </c>
      <c r="D71" s="12" t="s">
        <v>41</v>
      </c>
      <c r="E71" s="36" t="s">
        <v>112</v>
      </c>
      <c r="F71" s="12" t="s">
        <v>40</v>
      </c>
      <c r="G71" s="35" t="s">
        <v>113</v>
      </c>
      <c r="H71" s="21" t="s">
        <v>40</v>
      </c>
      <c r="I71" s="12">
        <v>5</v>
      </c>
      <c r="J71" s="12">
        <v>2</v>
      </c>
      <c r="K71" s="22">
        <v>0.75</v>
      </c>
      <c r="L71" s="2"/>
      <c r="O71">
        <v>0</v>
      </c>
      <c r="P71">
        <v>0</v>
      </c>
      <c r="Q71">
        <v>0</v>
      </c>
      <c r="R71">
        <v>0</v>
      </c>
    </row>
    <row r="72" spans="1:18">
      <c r="A72" s="12" t="s">
        <v>40</v>
      </c>
      <c r="B72" s="21" t="s">
        <v>40</v>
      </c>
      <c r="C72" s="12" t="s">
        <v>40</v>
      </c>
      <c r="D72" s="12" t="s">
        <v>41</v>
      </c>
      <c r="E72" s="36" t="s">
        <v>114</v>
      </c>
      <c r="F72" s="12" t="s">
        <v>40</v>
      </c>
      <c r="G72" s="35" t="s">
        <v>115</v>
      </c>
      <c r="H72" s="21" t="s">
        <v>40</v>
      </c>
      <c r="I72" s="12">
        <v>5</v>
      </c>
      <c r="J72" s="12">
        <v>1</v>
      </c>
      <c r="K72" s="22">
        <v>0.5</v>
      </c>
      <c r="L72" s="2"/>
      <c r="O72">
        <v>0</v>
      </c>
      <c r="P72">
        <v>0</v>
      </c>
      <c r="Q72">
        <v>0</v>
      </c>
      <c r="R72">
        <v>0</v>
      </c>
    </row>
    <row r="73" spans="1:18">
      <c r="A73" s="12" t="s">
        <v>40</v>
      </c>
      <c r="B73" s="21" t="s">
        <v>40</v>
      </c>
      <c r="C73" s="12" t="s">
        <v>40</v>
      </c>
      <c r="D73" s="12" t="s">
        <v>41</v>
      </c>
      <c r="E73" s="36" t="s">
        <v>116</v>
      </c>
      <c r="F73" s="12" t="s">
        <v>40</v>
      </c>
      <c r="G73" s="35" t="s">
        <v>117</v>
      </c>
      <c r="H73" s="21" t="s">
        <v>40</v>
      </c>
      <c r="I73" s="12">
        <v>5</v>
      </c>
      <c r="J73" s="12">
        <v>1</v>
      </c>
      <c r="K73" s="22">
        <v>0.5</v>
      </c>
      <c r="L73" s="2"/>
      <c r="O73">
        <v>0</v>
      </c>
      <c r="P73">
        <v>0</v>
      </c>
      <c r="Q73">
        <v>0</v>
      </c>
      <c r="R73">
        <v>0</v>
      </c>
    </row>
    <row r="74" spans="1:18">
      <c r="A74" s="12" t="s">
        <v>40</v>
      </c>
      <c r="B74" s="21" t="s">
        <v>40</v>
      </c>
      <c r="C74" s="12" t="s">
        <v>40</v>
      </c>
      <c r="D74" s="12" t="s">
        <v>41</v>
      </c>
      <c r="E74" s="36" t="s">
        <v>118</v>
      </c>
      <c r="F74" s="12" t="s">
        <v>40</v>
      </c>
      <c r="G74" s="35" t="s">
        <v>119</v>
      </c>
      <c r="H74" s="21" t="s">
        <v>40</v>
      </c>
      <c r="I74" s="12">
        <v>5</v>
      </c>
      <c r="J74" s="12">
        <v>2</v>
      </c>
      <c r="K74" s="22">
        <v>0.75</v>
      </c>
      <c r="L74" s="2"/>
      <c r="O74">
        <v>0</v>
      </c>
      <c r="P74">
        <v>0</v>
      </c>
      <c r="Q74">
        <v>0</v>
      </c>
      <c r="R74">
        <v>0</v>
      </c>
    </row>
    <row r="75" spans="1:18">
      <c r="A75" s="12" t="s">
        <v>120</v>
      </c>
      <c r="B75" s="35" t="s">
        <v>121</v>
      </c>
      <c r="C75" s="12" t="s">
        <v>39</v>
      </c>
      <c r="D75" s="21" t="s">
        <v>40</v>
      </c>
      <c r="E75" s="31" t="s">
        <v>40</v>
      </c>
      <c r="F75" s="21" t="s">
        <v>40</v>
      </c>
      <c r="G75" s="21" t="s">
        <v>40</v>
      </c>
      <c r="H75" s="21" t="s">
        <v>40</v>
      </c>
      <c r="I75" s="21" t="s">
        <v>40</v>
      </c>
      <c r="J75" s="21" t="s">
        <v>40</v>
      </c>
      <c r="K75" s="21" t="s">
        <v>40</v>
      </c>
    </row>
    <row r="76" spans="1:18">
      <c r="A76" s="12" t="s">
        <v>40</v>
      </c>
      <c r="B76" s="21" t="s">
        <v>40</v>
      </c>
      <c r="C76" s="12" t="s">
        <v>40</v>
      </c>
      <c r="D76" s="12" t="s">
        <v>41</v>
      </c>
      <c r="E76" s="36" t="s">
        <v>122</v>
      </c>
      <c r="F76" s="12" t="s">
        <v>40</v>
      </c>
      <c r="G76" s="35" t="s">
        <v>123</v>
      </c>
      <c r="H76" s="21" t="s">
        <v>40</v>
      </c>
      <c r="I76" s="12">
        <v>5</v>
      </c>
      <c r="J76" s="12">
        <v>2</v>
      </c>
      <c r="K76" s="22">
        <v>0.5</v>
      </c>
      <c r="O76">
        <v>0</v>
      </c>
      <c r="P76">
        <v>0.5</v>
      </c>
      <c r="Q76">
        <v>0</v>
      </c>
      <c r="R76">
        <v>0</v>
      </c>
    </row>
    <row r="77" spans="1:18">
      <c r="A77" s="12" t="s">
        <v>40</v>
      </c>
      <c r="B77" s="21" t="s">
        <v>40</v>
      </c>
      <c r="C77" s="12" t="s">
        <v>40</v>
      </c>
      <c r="D77" s="12" t="s">
        <v>41</v>
      </c>
      <c r="E77" s="36" t="s">
        <v>124</v>
      </c>
      <c r="F77" s="12" t="s">
        <v>40</v>
      </c>
      <c r="G77" s="21" t="s">
        <v>40</v>
      </c>
      <c r="H77" s="21" t="s">
        <v>40</v>
      </c>
      <c r="I77" s="12">
        <v>5</v>
      </c>
      <c r="J77" s="12">
        <v>1</v>
      </c>
      <c r="K77" s="22">
        <v>0.25</v>
      </c>
      <c r="O77">
        <v>0</v>
      </c>
      <c r="P77">
        <v>0.25</v>
      </c>
      <c r="Q77">
        <v>0</v>
      </c>
      <c r="R77">
        <v>0</v>
      </c>
    </row>
    <row r="78" spans="1:18">
      <c r="A78" s="12" t="s">
        <v>40</v>
      </c>
      <c r="B78" s="21" t="s">
        <v>40</v>
      </c>
      <c r="C78" s="12" t="s">
        <v>40</v>
      </c>
      <c r="D78" s="12" t="s">
        <v>41</v>
      </c>
      <c r="E78" s="36" t="s">
        <v>125</v>
      </c>
      <c r="F78" s="12" t="s">
        <v>40</v>
      </c>
      <c r="G78" s="35" t="s">
        <v>113</v>
      </c>
      <c r="H78" s="21" t="s">
        <v>40</v>
      </c>
      <c r="I78" s="12">
        <v>5</v>
      </c>
      <c r="J78" s="12">
        <v>2</v>
      </c>
      <c r="K78" s="22">
        <v>0.5</v>
      </c>
      <c r="O78">
        <v>0</v>
      </c>
      <c r="P78">
        <v>0.5</v>
      </c>
      <c r="Q78">
        <v>0</v>
      </c>
      <c r="R78">
        <v>0</v>
      </c>
    </row>
    <row r="79" spans="1:18">
      <c r="A79" s="12" t="s">
        <v>40</v>
      </c>
      <c r="B79" s="21" t="s">
        <v>40</v>
      </c>
      <c r="C79" s="12" t="s">
        <v>40</v>
      </c>
      <c r="D79" s="12" t="s">
        <v>41</v>
      </c>
      <c r="E79" s="36" t="s">
        <v>126</v>
      </c>
      <c r="F79" s="12" t="s">
        <v>40</v>
      </c>
      <c r="G79" s="21" t="s">
        <v>40</v>
      </c>
      <c r="H79" s="21" t="s">
        <v>40</v>
      </c>
      <c r="I79" s="12">
        <v>5</v>
      </c>
      <c r="J79" s="12">
        <v>1</v>
      </c>
      <c r="K79" s="22">
        <v>0.5</v>
      </c>
      <c r="O79">
        <v>0</v>
      </c>
      <c r="P79">
        <v>0.5</v>
      </c>
      <c r="Q79">
        <v>0</v>
      </c>
      <c r="R79">
        <v>0</v>
      </c>
    </row>
    <row r="80" spans="1:18">
      <c r="A80" s="12" t="s">
        <v>127</v>
      </c>
      <c r="B80" s="35" t="s">
        <v>128</v>
      </c>
      <c r="C80" s="12" t="s">
        <v>39</v>
      </c>
      <c r="D80" s="21" t="s">
        <v>40</v>
      </c>
      <c r="E80" s="31" t="s">
        <v>40</v>
      </c>
      <c r="F80" s="21" t="s">
        <v>40</v>
      </c>
      <c r="G80" s="21" t="s">
        <v>40</v>
      </c>
      <c r="H80" s="21" t="s">
        <v>40</v>
      </c>
      <c r="I80" s="21" t="s">
        <v>40</v>
      </c>
      <c r="J80" s="21" t="s">
        <v>40</v>
      </c>
      <c r="K80" s="21" t="s">
        <v>40</v>
      </c>
    </row>
    <row r="81" spans="1:18">
      <c r="A81" s="12" t="s">
        <v>40</v>
      </c>
      <c r="B81" s="21" t="s">
        <v>40</v>
      </c>
      <c r="C81" s="12" t="s">
        <v>40</v>
      </c>
      <c r="D81" s="12" t="s">
        <v>41</v>
      </c>
      <c r="E81" s="36" t="s">
        <v>129</v>
      </c>
      <c r="F81" s="12" t="s">
        <v>40</v>
      </c>
      <c r="G81" s="21" t="s">
        <v>40</v>
      </c>
      <c r="H81" s="21" t="s">
        <v>40</v>
      </c>
      <c r="I81" s="12">
        <v>5</v>
      </c>
      <c r="J81" s="12">
        <v>1</v>
      </c>
      <c r="K81" s="22">
        <v>0.25</v>
      </c>
      <c r="L81" s="2"/>
      <c r="O81">
        <v>0</v>
      </c>
      <c r="P81">
        <v>0</v>
      </c>
      <c r="Q81">
        <v>0</v>
      </c>
      <c r="R81">
        <v>0</v>
      </c>
    </row>
    <row r="82" spans="1:18">
      <c r="A82" s="12" t="s">
        <v>40</v>
      </c>
      <c r="B82" s="21" t="s">
        <v>40</v>
      </c>
      <c r="C82" s="12" t="s">
        <v>40</v>
      </c>
      <c r="D82" s="12" t="s">
        <v>41</v>
      </c>
      <c r="E82" s="36" t="s">
        <v>130</v>
      </c>
      <c r="F82" s="12" t="s">
        <v>40</v>
      </c>
      <c r="G82" s="35" t="s">
        <v>131</v>
      </c>
      <c r="H82" s="21" t="s">
        <v>40</v>
      </c>
      <c r="I82" s="12">
        <v>3</v>
      </c>
      <c r="J82" s="12">
        <v>2</v>
      </c>
      <c r="K82" s="22">
        <v>0.75</v>
      </c>
      <c r="L82" s="2"/>
      <c r="O82">
        <v>0</v>
      </c>
      <c r="P82">
        <v>0</v>
      </c>
      <c r="Q82">
        <v>0</v>
      </c>
      <c r="R82">
        <v>0</v>
      </c>
    </row>
    <row r="83" spans="1:18">
      <c r="A83" s="12" t="s">
        <v>40</v>
      </c>
      <c r="B83" s="21" t="s">
        <v>40</v>
      </c>
      <c r="C83" s="12" t="s">
        <v>40</v>
      </c>
      <c r="D83" s="12" t="s">
        <v>41</v>
      </c>
      <c r="E83" s="36" t="s">
        <v>132</v>
      </c>
      <c r="F83" s="12" t="s">
        <v>40</v>
      </c>
      <c r="G83" s="35" t="s">
        <v>133</v>
      </c>
      <c r="H83" s="21" t="s">
        <v>40</v>
      </c>
      <c r="I83" s="12">
        <v>3</v>
      </c>
      <c r="J83" s="12">
        <v>1</v>
      </c>
      <c r="K83" s="22">
        <v>0.25</v>
      </c>
      <c r="L83" s="2"/>
      <c r="O83">
        <v>0</v>
      </c>
      <c r="P83">
        <v>0</v>
      </c>
      <c r="Q83">
        <v>0</v>
      </c>
      <c r="R83">
        <v>0</v>
      </c>
    </row>
    <row r="84" spans="1:18">
      <c r="A84" s="12" t="s">
        <v>40</v>
      </c>
      <c r="B84" s="21" t="s">
        <v>40</v>
      </c>
      <c r="C84" s="12" t="s">
        <v>40</v>
      </c>
      <c r="D84" s="12" t="s">
        <v>41</v>
      </c>
      <c r="E84" s="36" t="s">
        <v>134</v>
      </c>
      <c r="F84" s="12" t="s">
        <v>40</v>
      </c>
      <c r="G84" s="21" t="s">
        <v>40</v>
      </c>
      <c r="H84" s="21" t="s">
        <v>40</v>
      </c>
      <c r="I84" s="12">
        <v>3</v>
      </c>
      <c r="J84" s="12">
        <v>1</v>
      </c>
      <c r="K84" s="22">
        <v>0.25</v>
      </c>
      <c r="L84" s="2"/>
      <c r="O84">
        <v>0</v>
      </c>
      <c r="P84">
        <v>0</v>
      </c>
      <c r="Q84">
        <v>0</v>
      </c>
      <c r="R84">
        <v>0</v>
      </c>
    </row>
    <row r="85" spans="1:18">
      <c r="A85" s="12" t="s">
        <v>40</v>
      </c>
      <c r="B85" s="21" t="s">
        <v>40</v>
      </c>
      <c r="C85" s="12" t="s">
        <v>40</v>
      </c>
      <c r="D85" s="12" t="s">
        <v>40</v>
      </c>
      <c r="E85" s="31" t="s">
        <v>40</v>
      </c>
      <c r="F85" s="12" t="s">
        <v>40</v>
      </c>
      <c r="G85" s="21" t="s">
        <v>40</v>
      </c>
      <c r="H85" s="21" t="s">
        <v>40</v>
      </c>
      <c r="I85" s="12"/>
      <c r="J85" s="12"/>
      <c r="K85" s="22"/>
    </row>
    <row r="86" spans="1:18" ht="13.9" thickBot="1">
      <c r="A86" s="12" t="s">
        <v>40</v>
      </c>
      <c r="B86" s="21" t="s">
        <v>40</v>
      </c>
      <c r="C86" s="12" t="s">
        <v>40</v>
      </c>
      <c r="D86" s="12" t="s">
        <v>40</v>
      </c>
      <c r="E86" s="31" t="s">
        <v>40</v>
      </c>
      <c r="F86" s="12" t="s">
        <v>40</v>
      </c>
      <c r="G86" s="21" t="s">
        <v>40</v>
      </c>
      <c r="H86" s="21" t="s">
        <v>40</v>
      </c>
      <c r="I86" s="12"/>
      <c r="J86" s="12"/>
      <c r="K86" s="22"/>
      <c r="L86" s="2"/>
      <c r="M86" s="13"/>
      <c r="O86">
        <f>SUM(O21:O83)</f>
        <v>0</v>
      </c>
      <c r="P86">
        <f>SUM(P21:P83)</f>
        <v>13.02</v>
      </c>
      <c r="Q86">
        <f>SUM(Q21:Q83)</f>
        <v>1.74</v>
      </c>
      <c r="R86">
        <f>SUM(R21:R83)</f>
        <v>0</v>
      </c>
    </row>
    <row r="87" spans="1:18" ht="66.599999999999994" thickBot="1">
      <c r="A87" s="3" t="s">
        <v>20</v>
      </c>
      <c r="B87" s="3" t="s">
        <v>21</v>
      </c>
      <c r="C87" s="3" t="s">
        <v>22</v>
      </c>
      <c r="D87" s="3" t="s">
        <v>23</v>
      </c>
      <c r="E87" s="3" t="s">
        <v>24</v>
      </c>
      <c r="F87" s="3" t="s">
        <v>25</v>
      </c>
      <c r="G87" s="3" t="s">
        <v>26</v>
      </c>
      <c r="H87" s="3" t="s">
        <v>27</v>
      </c>
      <c r="I87" s="3" t="s">
        <v>28</v>
      </c>
      <c r="J87" s="3" t="s">
        <v>29</v>
      </c>
      <c r="K87" s="3" t="s">
        <v>30</v>
      </c>
      <c r="L87" s="4" t="s">
        <v>135</v>
      </c>
      <c r="M87" s="5" t="s">
        <v>32</v>
      </c>
      <c r="N87" s="6">
        <v>17</v>
      </c>
      <c r="O87" t="s">
        <v>33</v>
      </c>
      <c r="P87" t="s">
        <v>34</v>
      </c>
      <c r="Q87" t="s">
        <v>35</v>
      </c>
      <c r="R87" t="s">
        <v>136</v>
      </c>
    </row>
    <row r="88" spans="1:18">
      <c r="A88" s="12" t="s">
        <v>137</v>
      </c>
      <c r="B88" s="35" t="s">
        <v>138</v>
      </c>
      <c r="C88" s="12" t="s">
        <v>139</v>
      </c>
      <c r="D88" s="21" t="s">
        <v>40</v>
      </c>
      <c r="E88" s="31" t="s">
        <v>40</v>
      </c>
      <c r="F88" s="21" t="s">
        <v>40</v>
      </c>
      <c r="G88" s="21" t="s">
        <v>40</v>
      </c>
      <c r="H88" s="21" t="s">
        <v>40</v>
      </c>
      <c r="I88" s="21" t="s">
        <v>40</v>
      </c>
      <c r="J88" s="21" t="s">
        <v>40</v>
      </c>
      <c r="K88" s="21" t="s">
        <v>40</v>
      </c>
    </row>
    <row r="89" spans="1:18">
      <c r="A89" s="12" t="s">
        <v>40</v>
      </c>
      <c r="B89" s="21" t="s">
        <v>40</v>
      </c>
      <c r="C89" s="12" t="s">
        <v>40</v>
      </c>
      <c r="D89" s="12" t="s">
        <v>41</v>
      </c>
      <c r="E89" s="36" t="s">
        <v>140</v>
      </c>
      <c r="F89" s="12" t="s">
        <v>40</v>
      </c>
      <c r="G89" s="21" t="s">
        <v>141</v>
      </c>
      <c r="H89" s="21" t="s">
        <v>40</v>
      </c>
      <c r="I89" s="12">
        <v>2</v>
      </c>
      <c r="J89" s="12">
        <v>1</v>
      </c>
      <c r="K89" s="22">
        <v>0.25</v>
      </c>
      <c r="L89" s="2"/>
      <c r="O89">
        <v>0.25</v>
      </c>
      <c r="P89">
        <v>0.25</v>
      </c>
      <c r="Q89">
        <v>0.25</v>
      </c>
      <c r="R89">
        <v>0.25</v>
      </c>
    </row>
    <row r="90" spans="1:18">
      <c r="A90" s="12" t="s">
        <v>40</v>
      </c>
      <c r="B90" s="21" t="s">
        <v>40</v>
      </c>
      <c r="C90" s="12" t="s">
        <v>40</v>
      </c>
      <c r="D90" s="12" t="s">
        <v>41</v>
      </c>
      <c r="E90" s="36" t="s">
        <v>142</v>
      </c>
      <c r="F90" s="12" t="s">
        <v>40</v>
      </c>
      <c r="G90" s="21" t="s">
        <v>40</v>
      </c>
      <c r="H90" s="21" t="s">
        <v>40</v>
      </c>
      <c r="I90" s="12">
        <v>4</v>
      </c>
      <c r="J90" s="12">
        <v>1</v>
      </c>
      <c r="K90" s="22">
        <v>0.5</v>
      </c>
      <c r="L90" s="2"/>
      <c r="O90">
        <v>0</v>
      </c>
      <c r="P90">
        <v>0</v>
      </c>
      <c r="Q90">
        <v>0</v>
      </c>
      <c r="R90">
        <v>0</v>
      </c>
    </row>
    <row r="91" spans="1:18">
      <c r="A91" s="12" t="s">
        <v>40</v>
      </c>
      <c r="B91" s="21" t="s">
        <v>40</v>
      </c>
      <c r="C91" s="12" t="s">
        <v>40</v>
      </c>
      <c r="D91" s="12" t="s">
        <v>41</v>
      </c>
      <c r="E91" s="36" t="s">
        <v>143</v>
      </c>
      <c r="F91" s="12" t="s">
        <v>40</v>
      </c>
      <c r="G91" s="21" t="s">
        <v>40</v>
      </c>
      <c r="H91" s="21" t="s">
        <v>40</v>
      </c>
      <c r="I91" s="12">
        <v>4</v>
      </c>
      <c r="J91" s="12">
        <v>1</v>
      </c>
      <c r="K91" s="22">
        <v>1</v>
      </c>
      <c r="L91" s="2"/>
      <c r="O91">
        <v>0</v>
      </c>
      <c r="P91">
        <v>0</v>
      </c>
      <c r="Q91">
        <v>0</v>
      </c>
      <c r="R91">
        <v>1</v>
      </c>
    </row>
    <row r="92" spans="1:18">
      <c r="A92" s="12" t="s">
        <v>40</v>
      </c>
      <c r="B92" s="21" t="s">
        <v>40</v>
      </c>
      <c r="C92" s="12" t="s">
        <v>40</v>
      </c>
      <c r="D92" s="12" t="s">
        <v>41</v>
      </c>
      <c r="E92" s="36" t="s">
        <v>144</v>
      </c>
      <c r="F92" s="12" t="s">
        <v>40</v>
      </c>
      <c r="G92" s="21" t="s">
        <v>40</v>
      </c>
      <c r="H92" s="21" t="s">
        <v>40</v>
      </c>
      <c r="I92" s="12">
        <v>4</v>
      </c>
      <c r="J92" s="12">
        <v>1</v>
      </c>
      <c r="K92" s="22">
        <v>0.5</v>
      </c>
      <c r="L92" s="2"/>
      <c r="O92">
        <v>0.5</v>
      </c>
      <c r="P92">
        <v>0</v>
      </c>
      <c r="Q92">
        <v>0.5</v>
      </c>
      <c r="R92">
        <v>0</v>
      </c>
    </row>
    <row r="93" spans="1:18">
      <c r="A93" s="12" t="s">
        <v>40</v>
      </c>
      <c r="B93" s="21" t="s">
        <v>40</v>
      </c>
      <c r="C93" s="12" t="s">
        <v>40</v>
      </c>
      <c r="D93" s="12" t="s">
        <v>41</v>
      </c>
      <c r="E93" s="36" t="s">
        <v>145</v>
      </c>
      <c r="F93" s="12" t="s">
        <v>40</v>
      </c>
      <c r="G93" s="35" t="s">
        <v>146</v>
      </c>
      <c r="H93" s="21" t="s">
        <v>40</v>
      </c>
      <c r="I93" s="12">
        <v>4</v>
      </c>
      <c r="J93" s="12">
        <v>1</v>
      </c>
      <c r="K93" s="22">
        <v>0.5</v>
      </c>
      <c r="L93" s="2"/>
      <c r="O93">
        <v>0</v>
      </c>
      <c r="P93">
        <v>0</v>
      </c>
      <c r="Q93">
        <v>0</v>
      </c>
      <c r="R93">
        <v>0</v>
      </c>
    </row>
    <row r="94" spans="1:18">
      <c r="A94" s="12" t="s">
        <v>147</v>
      </c>
      <c r="B94" s="35" t="s">
        <v>148</v>
      </c>
      <c r="C94" s="12" t="s">
        <v>139</v>
      </c>
      <c r="D94" s="21" t="s">
        <v>40</v>
      </c>
      <c r="E94" s="31" t="s">
        <v>40</v>
      </c>
      <c r="F94" s="21" t="s">
        <v>40</v>
      </c>
      <c r="G94" s="21" t="s">
        <v>40</v>
      </c>
      <c r="H94" s="21" t="s">
        <v>40</v>
      </c>
      <c r="I94" s="21" t="s">
        <v>40</v>
      </c>
      <c r="J94" s="21" t="s">
        <v>40</v>
      </c>
      <c r="K94" s="21" t="s">
        <v>40</v>
      </c>
    </row>
    <row r="95" spans="1:18">
      <c r="A95" s="12" t="s">
        <v>40</v>
      </c>
      <c r="B95" s="21" t="s">
        <v>40</v>
      </c>
      <c r="C95" s="12" t="s">
        <v>40</v>
      </c>
      <c r="D95" s="12" t="s">
        <v>41</v>
      </c>
      <c r="E95" s="36" t="s">
        <v>149</v>
      </c>
      <c r="F95" s="12" t="s">
        <v>40</v>
      </c>
      <c r="G95" s="35" t="s">
        <v>150</v>
      </c>
      <c r="H95" s="21" t="s">
        <v>40</v>
      </c>
      <c r="I95" s="12">
        <v>4</v>
      </c>
      <c r="J95" s="12">
        <v>1</v>
      </c>
      <c r="K95" s="22">
        <v>0.5</v>
      </c>
      <c r="L95" s="2"/>
      <c r="O95">
        <v>0</v>
      </c>
      <c r="P95">
        <v>0</v>
      </c>
      <c r="Q95">
        <v>0</v>
      </c>
      <c r="R95">
        <v>0</v>
      </c>
    </row>
    <row r="96" spans="1:18">
      <c r="A96" s="12" t="s">
        <v>40</v>
      </c>
      <c r="B96" s="21" t="s">
        <v>40</v>
      </c>
      <c r="C96" s="12" t="s">
        <v>40</v>
      </c>
      <c r="D96" s="12" t="s">
        <v>41</v>
      </c>
      <c r="E96" s="36" t="s">
        <v>151</v>
      </c>
      <c r="F96" s="12" t="s">
        <v>40</v>
      </c>
      <c r="G96" s="21" t="s">
        <v>40</v>
      </c>
      <c r="H96" s="21" t="s">
        <v>40</v>
      </c>
      <c r="I96" s="12">
        <v>4</v>
      </c>
      <c r="J96" s="12">
        <v>1</v>
      </c>
      <c r="K96" s="22">
        <v>0.5</v>
      </c>
      <c r="L96" s="2"/>
      <c r="O96">
        <v>0</v>
      </c>
      <c r="P96">
        <v>0</v>
      </c>
      <c r="Q96">
        <v>0</v>
      </c>
      <c r="R96">
        <v>0</v>
      </c>
    </row>
    <row r="97" spans="1:18">
      <c r="A97" s="12" t="s">
        <v>40</v>
      </c>
      <c r="B97" s="21" t="s">
        <v>40</v>
      </c>
      <c r="C97" s="12" t="s">
        <v>40</v>
      </c>
      <c r="D97" s="12" t="s">
        <v>41</v>
      </c>
      <c r="E97" s="36" t="s">
        <v>152</v>
      </c>
      <c r="F97" s="12" t="s">
        <v>40</v>
      </c>
      <c r="G97" s="21" t="s">
        <v>40</v>
      </c>
      <c r="H97" s="21" t="s">
        <v>40</v>
      </c>
      <c r="I97" s="12">
        <v>4</v>
      </c>
      <c r="J97" s="12">
        <v>1</v>
      </c>
      <c r="K97" s="22">
        <v>0.5</v>
      </c>
      <c r="L97" s="2"/>
      <c r="O97">
        <v>0</v>
      </c>
      <c r="P97">
        <v>0</v>
      </c>
      <c r="Q97">
        <v>0</v>
      </c>
      <c r="R97">
        <v>0</v>
      </c>
    </row>
    <row r="98" spans="1:18">
      <c r="A98" s="12" t="s">
        <v>153</v>
      </c>
      <c r="B98" s="35" t="s">
        <v>154</v>
      </c>
      <c r="C98" s="12" t="s">
        <v>139</v>
      </c>
      <c r="D98" s="21" t="s">
        <v>40</v>
      </c>
      <c r="E98" s="31" t="s">
        <v>40</v>
      </c>
      <c r="F98" s="21" t="s">
        <v>40</v>
      </c>
      <c r="G98" s="21" t="s">
        <v>40</v>
      </c>
      <c r="H98" s="21" t="s">
        <v>40</v>
      </c>
      <c r="I98" s="21" t="s">
        <v>40</v>
      </c>
      <c r="J98" s="21" t="s">
        <v>40</v>
      </c>
      <c r="K98" s="21" t="s">
        <v>40</v>
      </c>
    </row>
    <row r="99" spans="1:18">
      <c r="A99" s="12" t="s">
        <v>40</v>
      </c>
      <c r="B99" s="21" t="s">
        <v>40</v>
      </c>
      <c r="C99" s="12" t="s">
        <v>40</v>
      </c>
      <c r="D99" s="12" t="s">
        <v>41</v>
      </c>
      <c r="E99" s="36" t="s">
        <v>155</v>
      </c>
      <c r="F99" s="12" t="s">
        <v>40</v>
      </c>
      <c r="G99" s="35" t="s">
        <v>156</v>
      </c>
      <c r="H99" s="21" t="s">
        <v>40</v>
      </c>
      <c r="I99" s="12">
        <v>3</v>
      </c>
      <c r="J99" s="12">
        <v>1</v>
      </c>
      <c r="K99" s="22">
        <v>0.5</v>
      </c>
      <c r="L99" s="2"/>
      <c r="O99">
        <v>0.5</v>
      </c>
      <c r="P99">
        <v>0</v>
      </c>
      <c r="Q99">
        <v>0.5</v>
      </c>
      <c r="R99">
        <v>0.5</v>
      </c>
    </row>
    <row r="100" spans="1:18">
      <c r="A100" s="12" t="s">
        <v>40</v>
      </c>
      <c r="B100" s="21" t="s">
        <v>40</v>
      </c>
      <c r="C100" s="12" t="s">
        <v>40</v>
      </c>
      <c r="D100" s="12" t="s">
        <v>41</v>
      </c>
      <c r="E100" s="36" t="s">
        <v>157</v>
      </c>
      <c r="F100" s="12" t="s">
        <v>40</v>
      </c>
      <c r="G100" s="21" t="s">
        <v>40</v>
      </c>
      <c r="H100" s="21" t="s">
        <v>40</v>
      </c>
      <c r="I100" s="12">
        <v>4</v>
      </c>
      <c r="J100" s="12">
        <v>1</v>
      </c>
      <c r="K100" s="22">
        <v>0.25</v>
      </c>
      <c r="L100" s="2"/>
      <c r="O100">
        <v>0.25</v>
      </c>
      <c r="P100">
        <v>0</v>
      </c>
      <c r="Q100">
        <v>0.25</v>
      </c>
      <c r="R100">
        <v>0.25</v>
      </c>
    </row>
    <row r="101" spans="1:18">
      <c r="A101" s="12" t="s">
        <v>40</v>
      </c>
      <c r="B101" s="21" t="s">
        <v>40</v>
      </c>
      <c r="C101" s="12" t="s">
        <v>40</v>
      </c>
      <c r="D101" s="12" t="s">
        <v>41</v>
      </c>
      <c r="E101" s="36" t="s">
        <v>158</v>
      </c>
      <c r="F101" s="12" t="s">
        <v>40</v>
      </c>
      <c r="G101" s="21" t="s">
        <v>40</v>
      </c>
      <c r="H101" s="21" t="s">
        <v>40</v>
      </c>
      <c r="I101" s="12">
        <v>4</v>
      </c>
      <c r="J101" s="12">
        <v>1</v>
      </c>
      <c r="K101" s="22">
        <v>0.5</v>
      </c>
      <c r="L101" s="2"/>
      <c r="O101">
        <v>0.5</v>
      </c>
      <c r="P101">
        <v>0</v>
      </c>
      <c r="Q101">
        <v>0</v>
      </c>
      <c r="R101">
        <v>0.5</v>
      </c>
    </row>
    <row r="102" spans="1:18">
      <c r="A102" s="12" t="s">
        <v>40</v>
      </c>
      <c r="B102" s="21" t="s">
        <v>40</v>
      </c>
      <c r="C102" s="12" t="s">
        <v>40</v>
      </c>
      <c r="D102" s="12" t="s">
        <v>41</v>
      </c>
      <c r="E102" s="36" t="s">
        <v>159</v>
      </c>
      <c r="F102" s="12" t="s">
        <v>40</v>
      </c>
      <c r="G102" s="35" t="s">
        <v>160</v>
      </c>
      <c r="H102" s="21" t="s">
        <v>40</v>
      </c>
      <c r="I102" s="12">
        <v>4</v>
      </c>
      <c r="J102" s="12">
        <v>1</v>
      </c>
      <c r="K102" s="22">
        <v>0.5</v>
      </c>
      <c r="L102" s="2"/>
      <c r="O102">
        <v>0.5</v>
      </c>
      <c r="P102">
        <v>0</v>
      </c>
      <c r="Q102">
        <v>0.5</v>
      </c>
      <c r="R102">
        <v>0.5</v>
      </c>
    </row>
    <row r="103" spans="1:18">
      <c r="A103" s="12" t="s">
        <v>40</v>
      </c>
      <c r="B103" s="21" t="s">
        <v>40</v>
      </c>
      <c r="C103" s="12" t="s">
        <v>40</v>
      </c>
      <c r="D103" s="12" t="s">
        <v>41</v>
      </c>
      <c r="E103" s="36" t="s">
        <v>161</v>
      </c>
      <c r="F103" s="12" t="s">
        <v>40</v>
      </c>
      <c r="G103" s="21" t="s">
        <v>40</v>
      </c>
      <c r="H103" s="21" t="s">
        <v>40</v>
      </c>
      <c r="I103" s="12">
        <v>4</v>
      </c>
      <c r="J103" s="12">
        <v>1</v>
      </c>
      <c r="K103" s="22">
        <v>0.5</v>
      </c>
      <c r="L103" s="2"/>
      <c r="O103">
        <v>0</v>
      </c>
      <c r="P103">
        <v>0</v>
      </c>
      <c r="Q103">
        <v>0</v>
      </c>
      <c r="R103">
        <v>0.5</v>
      </c>
    </row>
    <row r="104" spans="1:18">
      <c r="A104" s="12" t="s">
        <v>40</v>
      </c>
      <c r="B104" s="21" t="s">
        <v>40</v>
      </c>
      <c r="C104" s="12" t="s">
        <v>40</v>
      </c>
      <c r="D104" s="12" t="s">
        <v>41</v>
      </c>
      <c r="E104" s="36" t="s">
        <v>162</v>
      </c>
      <c r="F104" s="12" t="s">
        <v>40</v>
      </c>
      <c r="G104" s="21" t="s">
        <v>40</v>
      </c>
      <c r="H104" s="21" t="s">
        <v>40</v>
      </c>
      <c r="I104" s="12">
        <v>4</v>
      </c>
      <c r="J104" s="12">
        <v>1</v>
      </c>
      <c r="K104" s="22">
        <v>0.25</v>
      </c>
      <c r="L104" s="2"/>
      <c r="O104">
        <v>0</v>
      </c>
      <c r="P104">
        <v>0</v>
      </c>
      <c r="Q104">
        <v>0</v>
      </c>
      <c r="R104">
        <v>0</v>
      </c>
    </row>
    <row r="105" spans="1:18">
      <c r="A105" s="12" t="s">
        <v>163</v>
      </c>
      <c r="B105" s="35" t="s">
        <v>164</v>
      </c>
      <c r="C105" s="12" t="s">
        <v>139</v>
      </c>
      <c r="D105" s="21" t="s">
        <v>40</v>
      </c>
      <c r="E105" s="31" t="s">
        <v>40</v>
      </c>
      <c r="F105" s="21" t="s">
        <v>40</v>
      </c>
      <c r="G105" s="21" t="s">
        <v>40</v>
      </c>
      <c r="H105" s="21" t="s">
        <v>40</v>
      </c>
      <c r="I105" s="21" t="s">
        <v>40</v>
      </c>
      <c r="J105" s="21" t="s">
        <v>40</v>
      </c>
      <c r="K105" s="21" t="s">
        <v>40</v>
      </c>
    </row>
    <row r="106" spans="1:18">
      <c r="A106" s="12" t="s">
        <v>40</v>
      </c>
      <c r="B106" s="21" t="s">
        <v>40</v>
      </c>
      <c r="C106" s="12" t="s">
        <v>40</v>
      </c>
      <c r="D106" s="12" t="s">
        <v>41</v>
      </c>
      <c r="E106" s="36" t="s">
        <v>165</v>
      </c>
      <c r="F106" s="12" t="s">
        <v>40</v>
      </c>
      <c r="G106" s="35" t="s">
        <v>166</v>
      </c>
      <c r="H106" s="21" t="s">
        <v>40</v>
      </c>
      <c r="I106" s="12">
        <v>4</v>
      </c>
      <c r="J106" s="12">
        <v>1</v>
      </c>
      <c r="K106" s="22">
        <v>0.25</v>
      </c>
      <c r="L106" s="2"/>
      <c r="O106">
        <v>0.25</v>
      </c>
      <c r="P106">
        <v>0</v>
      </c>
      <c r="Q106">
        <v>0.25</v>
      </c>
      <c r="R106">
        <v>0</v>
      </c>
    </row>
    <row r="107" spans="1:18" ht="26.45">
      <c r="A107" s="12" t="s">
        <v>40</v>
      </c>
      <c r="B107" s="21" t="s">
        <v>40</v>
      </c>
      <c r="C107" s="12" t="s">
        <v>40</v>
      </c>
      <c r="D107" s="12" t="s">
        <v>41</v>
      </c>
      <c r="E107" s="36" t="s">
        <v>167</v>
      </c>
      <c r="F107" s="12" t="s">
        <v>40</v>
      </c>
      <c r="G107" s="35" t="s">
        <v>168</v>
      </c>
      <c r="H107" s="21" t="s">
        <v>40</v>
      </c>
      <c r="I107" s="12">
        <v>4</v>
      </c>
      <c r="J107" s="12">
        <v>1</v>
      </c>
      <c r="K107" s="22">
        <v>0.25</v>
      </c>
      <c r="L107" s="2"/>
      <c r="O107">
        <v>0</v>
      </c>
      <c r="P107">
        <v>0</v>
      </c>
      <c r="Q107">
        <v>0</v>
      </c>
      <c r="R107">
        <v>0</v>
      </c>
    </row>
    <row r="108" spans="1:18">
      <c r="A108" s="12" t="s">
        <v>40</v>
      </c>
      <c r="B108" s="21" t="s">
        <v>40</v>
      </c>
      <c r="C108" s="12" t="s">
        <v>40</v>
      </c>
      <c r="D108" s="12" t="s">
        <v>41</v>
      </c>
      <c r="E108" s="36" t="s">
        <v>169</v>
      </c>
      <c r="F108" s="12" t="s">
        <v>40</v>
      </c>
      <c r="G108" s="35" t="s">
        <v>170</v>
      </c>
      <c r="H108" s="21" t="s">
        <v>40</v>
      </c>
      <c r="I108" s="12">
        <v>3</v>
      </c>
      <c r="J108" s="12">
        <v>2</v>
      </c>
      <c r="K108" s="22">
        <v>0.5</v>
      </c>
      <c r="L108" s="2"/>
      <c r="O108">
        <v>0.5</v>
      </c>
      <c r="P108">
        <v>0</v>
      </c>
      <c r="Q108">
        <v>0.5</v>
      </c>
      <c r="R108">
        <v>0</v>
      </c>
    </row>
    <row r="109" spans="1:18">
      <c r="A109" s="12" t="s">
        <v>40</v>
      </c>
      <c r="B109" s="21" t="s">
        <v>40</v>
      </c>
      <c r="C109" s="12" t="s">
        <v>40</v>
      </c>
      <c r="D109" s="12" t="s">
        <v>41</v>
      </c>
      <c r="E109" s="36" t="s">
        <v>171</v>
      </c>
      <c r="F109" s="12" t="s">
        <v>40</v>
      </c>
      <c r="G109" s="35" t="s">
        <v>172</v>
      </c>
      <c r="H109" s="21" t="s">
        <v>40</v>
      </c>
      <c r="I109" s="12">
        <v>3</v>
      </c>
      <c r="J109" s="12">
        <v>2</v>
      </c>
      <c r="K109" s="22">
        <v>0.5</v>
      </c>
      <c r="L109" s="2"/>
      <c r="O109">
        <v>0.5</v>
      </c>
      <c r="P109">
        <v>0</v>
      </c>
      <c r="Q109">
        <v>0.5</v>
      </c>
      <c r="R109">
        <v>0</v>
      </c>
    </row>
    <row r="110" spans="1:18">
      <c r="A110" s="12" t="s">
        <v>40</v>
      </c>
      <c r="B110" s="21" t="s">
        <v>40</v>
      </c>
      <c r="C110" s="12" t="s">
        <v>40</v>
      </c>
      <c r="D110" s="12" t="s">
        <v>41</v>
      </c>
      <c r="E110" s="36" t="s">
        <v>173</v>
      </c>
      <c r="F110" s="12" t="s">
        <v>40</v>
      </c>
      <c r="G110" s="35" t="s">
        <v>174</v>
      </c>
      <c r="H110" s="21" t="s">
        <v>40</v>
      </c>
      <c r="I110" s="12">
        <v>3</v>
      </c>
      <c r="J110" s="12">
        <v>2</v>
      </c>
      <c r="K110" s="22">
        <v>0.75</v>
      </c>
      <c r="L110" s="2"/>
      <c r="O110">
        <v>0</v>
      </c>
      <c r="P110">
        <v>0</v>
      </c>
      <c r="Q110">
        <v>0</v>
      </c>
      <c r="R110">
        <v>0</v>
      </c>
    </row>
    <row r="111" spans="1:18">
      <c r="A111" s="12" t="s">
        <v>40</v>
      </c>
      <c r="B111" s="21" t="s">
        <v>40</v>
      </c>
      <c r="C111" s="12" t="s">
        <v>40</v>
      </c>
      <c r="D111" s="12" t="s">
        <v>41</v>
      </c>
      <c r="E111" s="36" t="s">
        <v>175</v>
      </c>
      <c r="F111" s="12" t="s">
        <v>40</v>
      </c>
      <c r="G111" s="35" t="s">
        <v>176</v>
      </c>
      <c r="H111" s="21" t="s">
        <v>40</v>
      </c>
      <c r="I111" s="12">
        <v>3</v>
      </c>
      <c r="J111" s="12">
        <v>2</v>
      </c>
      <c r="K111" s="22">
        <v>0.75</v>
      </c>
      <c r="L111" s="2"/>
      <c r="O111">
        <v>0</v>
      </c>
      <c r="P111">
        <v>0</v>
      </c>
      <c r="Q111">
        <v>0</v>
      </c>
      <c r="R111">
        <v>0</v>
      </c>
    </row>
    <row r="112" spans="1:18">
      <c r="A112" s="12" t="s">
        <v>40</v>
      </c>
      <c r="B112" s="21" t="s">
        <v>40</v>
      </c>
      <c r="C112" s="12" t="s">
        <v>40</v>
      </c>
      <c r="D112" s="12" t="s">
        <v>41</v>
      </c>
      <c r="E112" s="36" t="s">
        <v>177</v>
      </c>
      <c r="F112" s="12" t="s">
        <v>40</v>
      </c>
      <c r="G112" s="35" t="s">
        <v>178</v>
      </c>
      <c r="H112" s="21" t="s">
        <v>40</v>
      </c>
      <c r="I112" s="12">
        <v>3</v>
      </c>
      <c r="J112" s="12">
        <v>2</v>
      </c>
      <c r="K112" s="22">
        <v>1</v>
      </c>
      <c r="L112" s="2"/>
      <c r="O112">
        <v>0</v>
      </c>
      <c r="P112">
        <v>0</v>
      </c>
      <c r="Q112">
        <v>0</v>
      </c>
      <c r="R112">
        <v>0</v>
      </c>
    </row>
    <row r="113" spans="1:18">
      <c r="A113" s="12" t="s">
        <v>40</v>
      </c>
      <c r="B113" s="21" t="s">
        <v>40</v>
      </c>
      <c r="C113" s="12" t="s">
        <v>40</v>
      </c>
      <c r="D113" s="12" t="s">
        <v>41</v>
      </c>
      <c r="E113" s="36" t="s">
        <v>179</v>
      </c>
      <c r="F113" s="12" t="s">
        <v>40</v>
      </c>
      <c r="G113" s="21" t="s">
        <v>40</v>
      </c>
      <c r="H113" s="21" t="s">
        <v>40</v>
      </c>
      <c r="I113" s="12">
        <v>3</v>
      </c>
      <c r="J113" s="12">
        <v>1</v>
      </c>
      <c r="K113" s="22">
        <v>0.25</v>
      </c>
      <c r="L113" s="2"/>
      <c r="O113">
        <v>0</v>
      </c>
      <c r="P113">
        <v>0</v>
      </c>
      <c r="Q113">
        <v>0</v>
      </c>
      <c r="R113">
        <v>0</v>
      </c>
    </row>
    <row r="114" spans="1:18">
      <c r="A114" s="12" t="s">
        <v>40</v>
      </c>
      <c r="B114" s="21" t="s">
        <v>40</v>
      </c>
      <c r="C114" s="12" t="s">
        <v>40</v>
      </c>
      <c r="D114" s="12" t="s">
        <v>41</v>
      </c>
      <c r="E114" s="36" t="s">
        <v>180</v>
      </c>
      <c r="F114" s="12" t="s">
        <v>40</v>
      </c>
      <c r="G114" s="21" t="s">
        <v>40</v>
      </c>
      <c r="H114" s="21" t="s">
        <v>40</v>
      </c>
      <c r="I114" s="12">
        <v>1</v>
      </c>
      <c r="J114" s="12">
        <v>1</v>
      </c>
      <c r="K114" s="22">
        <v>0.25</v>
      </c>
      <c r="L114" s="2"/>
      <c r="O114">
        <v>0</v>
      </c>
      <c r="P114">
        <v>0.25</v>
      </c>
      <c r="Q114">
        <v>0</v>
      </c>
      <c r="R114">
        <v>0</v>
      </c>
    </row>
    <row r="115" spans="1:18">
      <c r="A115" s="12" t="s">
        <v>40</v>
      </c>
      <c r="B115" s="21" t="s">
        <v>40</v>
      </c>
      <c r="C115" s="12" t="s">
        <v>40</v>
      </c>
      <c r="D115" s="12" t="s">
        <v>54</v>
      </c>
      <c r="E115" s="36" t="s">
        <v>181</v>
      </c>
      <c r="F115" s="12" t="s">
        <v>40</v>
      </c>
      <c r="G115" s="21" t="s">
        <v>40</v>
      </c>
      <c r="H115" s="21" t="s">
        <v>40</v>
      </c>
      <c r="I115" s="12">
        <v>3</v>
      </c>
      <c r="J115" s="12"/>
      <c r="K115" s="22">
        <v>1</v>
      </c>
      <c r="L115" s="2"/>
      <c r="O115">
        <v>0</v>
      </c>
      <c r="P115">
        <v>0</v>
      </c>
      <c r="Q115">
        <v>0</v>
      </c>
      <c r="R115">
        <v>0</v>
      </c>
    </row>
    <row r="116" spans="1:18">
      <c r="A116" s="12" t="s">
        <v>40</v>
      </c>
      <c r="B116" s="21" t="s">
        <v>40</v>
      </c>
      <c r="C116" s="12" t="s">
        <v>40</v>
      </c>
      <c r="D116" s="12" t="s">
        <v>40</v>
      </c>
      <c r="E116" s="31" t="s">
        <v>40</v>
      </c>
      <c r="F116" s="12">
        <v>0</v>
      </c>
      <c r="G116" s="35" t="s">
        <v>182</v>
      </c>
      <c r="H116" s="21" t="s">
        <v>40</v>
      </c>
      <c r="I116" s="12"/>
      <c r="J116" s="12"/>
      <c r="K116" s="22"/>
    </row>
    <row r="117" spans="1:18" ht="12.75">
      <c r="A117" s="12" t="s">
        <v>40</v>
      </c>
      <c r="B117" s="21" t="s">
        <v>40</v>
      </c>
      <c r="C117" s="12" t="s">
        <v>40</v>
      </c>
      <c r="D117" s="12" t="s">
        <v>40</v>
      </c>
      <c r="E117" s="31"/>
      <c r="F117" s="12">
        <v>1</v>
      </c>
      <c r="G117" s="35" t="s">
        <v>183</v>
      </c>
      <c r="H117" s="21" t="s">
        <v>40</v>
      </c>
      <c r="I117" s="12"/>
      <c r="J117" s="12"/>
      <c r="K117" s="22"/>
    </row>
    <row r="118" spans="1:18">
      <c r="A118" s="12" t="s">
        <v>40</v>
      </c>
      <c r="B118" s="21" t="s">
        <v>40</v>
      </c>
      <c r="C118" s="12" t="s">
        <v>40</v>
      </c>
      <c r="D118" s="12" t="s">
        <v>40</v>
      </c>
      <c r="E118" s="31" t="s">
        <v>40</v>
      </c>
      <c r="F118" s="12">
        <v>2</v>
      </c>
      <c r="G118" s="35" t="s">
        <v>184</v>
      </c>
      <c r="H118" s="21" t="s">
        <v>40</v>
      </c>
      <c r="I118" s="12"/>
      <c r="J118" s="12"/>
      <c r="K118" s="22"/>
    </row>
    <row r="119" spans="1:18">
      <c r="A119" s="12" t="s">
        <v>40</v>
      </c>
      <c r="B119" s="21" t="s">
        <v>40</v>
      </c>
      <c r="C119" s="12" t="s">
        <v>40</v>
      </c>
      <c r="D119" s="12" t="s">
        <v>40</v>
      </c>
      <c r="E119" s="31" t="s">
        <v>40</v>
      </c>
      <c r="F119" s="12">
        <v>3</v>
      </c>
      <c r="G119" s="35" t="s">
        <v>185</v>
      </c>
      <c r="H119" s="21" t="s">
        <v>40</v>
      </c>
      <c r="I119" s="12"/>
      <c r="J119" s="12"/>
      <c r="K119" s="22"/>
    </row>
    <row r="120" spans="1:18">
      <c r="A120" s="12" t="s">
        <v>40</v>
      </c>
      <c r="B120" s="21" t="s">
        <v>40</v>
      </c>
      <c r="C120" s="12" t="s">
        <v>40</v>
      </c>
      <c r="D120" s="12" t="s">
        <v>54</v>
      </c>
      <c r="E120" s="36" t="s">
        <v>186</v>
      </c>
      <c r="F120" s="12" t="s">
        <v>40</v>
      </c>
      <c r="G120" s="21" t="s">
        <v>40</v>
      </c>
      <c r="H120" s="21" t="s">
        <v>40</v>
      </c>
      <c r="I120" s="12">
        <v>3</v>
      </c>
      <c r="J120" s="12"/>
      <c r="K120" s="22">
        <v>1</v>
      </c>
      <c r="L120" s="2"/>
      <c r="O120">
        <v>0</v>
      </c>
      <c r="P120">
        <v>0</v>
      </c>
      <c r="Q120">
        <v>0</v>
      </c>
      <c r="R120">
        <v>0</v>
      </c>
    </row>
    <row r="121" spans="1:18">
      <c r="A121" s="12" t="s">
        <v>40</v>
      </c>
      <c r="B121" s="21" t="s">
        <v>40</v>
      </c>
      <c r="C121" s="12" t="s">
        <v>40</v>
      </c>
      <c r="D121" s="12" t="s">
        <v>40</v>
      </c>
      <c r="E121" s="31" t="s">
        <v>40</v>
      </c>
      <c r="F121" s="12">
        <v>0</v>
      </c>
      <c r="G121" s="35" t="s">
        <v>182</v>
      </c>
      <c r="H121" s="21" t="s">
        <v>40</v>
      </c>
      <c r="I121" s="12"/>
      <c r="J121" s="12"/>
      <c r="K121" s="22"/>
    </row>
    <row r="122" spans="1:18">
      <c r="A122" s="12" t="s">
        <v>40</v>
      </c>
      <c r="B122" s="21" t="s">
        <v>40</v>
      </c>
      <c r="C122" s="12" t="s">
        <v>40</v>
      </c>
      <c r="D122" s="12" t="s">
        <v>40</v>
      </c>
      <c r="E122" s="31" t="s">
        <v>40</v>
      </c>
      <c r="F122" s="12">
        <v>1</v>
      </c>
      <c r="G122" s="35" t="s">
        <v>183</v>
      </c>
      <c r="H122" s="21" t="s">
        <v>40</v>
      </c>
      <c r="I122" s="12"/>
      <c r="J122" s="12"/>
      <c r="K122" s="22"/>
    </row>
    <row r="123" spans="1:18">
      <c r="A123" s="12" t="s">
        <v>40</v>
      </c>
      <c r="B123" s="21" t="s">
        <v>40</v>
      </c>
      <c r="C123" s="12" t="s">
        <v>40</v>
      </c>
      <c r="D123" s="12" t="s">
        <v>40</v>
      </c>
      <c r="E123" s="31" t="s">
        <v>40</v>
      </c>
      <c r="F123" s="12">
        <v>2</v>
      </c>
      <c r="G123" s="35" t="s">
        <v>184</v>
      </c>
      <c r="H123" s="21" t="s">
        <v>40</v>
      </c>
      <c r="I123" s="12"/>
      <c r="J123" s="12"/>
      <c r="K123" s="22"/>
    </row>
    <row r="124" spans="1:18">
      <c r="A124" s="12" t="s">
        <v>40</v>
      </c>
      <c r="B124" s="21" t="s">
        <v>40</v>
      </c>
      <c r="C124" s="12" t="s">
        <v>40</v>
      </c>
      <c r="D124" s="12" t="s">
        <v>40</v>
      </c>
      <c r="E124" s="31" t="s">
        <v>40</v>
      </c>
      <c r="F124" s="12">
        <v>3</v>
      </c>
      <c r="G124" s="35" t="s">
        <v>185</v>
      </c>
      <c r="H124" s="21" t="s">
        <v>40</v>
      </c>
      <c r="I124" s="12"/>
      <c r="J124" s="12"/>
      <c r="K124" s="22"/>
    </row>
    <row r="125" spans="1:18">
      <c r="A125" s="12" t="s">
        <v>187</v>
      </c>
      <c r="B125" s="35" t="s">
        <v>188</v>
      </c>
      <c r="C125" s="12" t="s">
        <v>139</v>
      </c>
      <c r="D125" s="21" t="s">
        <v>40</v>
      </c>
      <c r="E125" s="31" t="s">
        <v>40</v>
      </c>
      <c r="F125" s="21" t="s">
        <v>40</v>
      </c>
      <c r="G125" s="21" t="s">
        <v>40</v>
      </c>
      <c r="H125" s="21" t="s">
        <v>40</v>
      </c>
      <c r="I125" s="21" t="s">
        <v>40</v>
      </c>
      <c r="J125" s="21" t="s">
        <v>40</v>
      </c>
      <c r="K125" s="21" t="s">
        <v>40</v>
      </c>
    </row>
    <row r="126" spans="1:18">
      <c r="A126" s="12" t="s">
        <v>40</v>
      </c>
      <c r="B126" s="21" t="s">
        <v>40</v>
      </c>
      <c r="C126" s="12" t="s">
        <v>40</v>
      </c>
      <c r="D126" s="12" t="s">
        <v>41</v>
      </c>
      <c r="E126" s="36" t="s">
        <v>189</v>
      </c>
      <c r="F126" s="12" t="s">
        <v>40</v>
      </c>
      <c r="G126" s="21" t="s">
        <v>40</v>
      </c>
      <c r="H126" s="21" t="s">
        <v>40</v>
      </c>
      <c r="I126" s="12">
        <v>4</v>
      </c>
      <c r="J126" s="12">
        <v>1</v>
      </c>
      <c r="K126" s="22">
        <v>0.5</v>
      </c>
      <c r="L126" s="2"/>
      <c r="O126">
        <v>0</v>
      </c>
      <c r="P126">
        <v>0</v>
      </c>
      <c r="Q126">
        <v>0</v>
      </c>
      <c r="R126">
        <v>0</v>
      </c>
    </row>
    <row r="127" spans="1:18">
      <c r="A127" s="12" t="s">
        <v>40</v>
      </c>
      <c r="B127" s="21" t="s">
        <v>40</v>
      </c>
      <c r="C127" s="12" t="s">
        <v>40</v>
      </c>
      <c r="D127" s="12" t="s">
        <v>41</v>
      </c>
      <c r="E127" s="36" t="s">
        <v>190</v>
      </c>
      <c r="F127" s="12" t="s">
        <v>40</v>
      </c>
      <c r="G127" s="35" t="s">
        <v>191</v>
      </c>
      <c r="H127" s="21" t="s">
        <v>40</v>
      </c>
      <c r="I127" s="12">
        <v>4</v>
      </c>
      <c r="J127" s="12">
        <v>1</v>
      </c>
      <c r="K127" s="22">
        <v>0.5</v>
      </c>
      <c r="L127" s="2"/>
      <c r="O127">
        <v>0</v>
      </c>
      <c r="P127">
        <v>0</v>
      </c>
      <c r="Q127">
        <v>0</v>
      </c>
      <c r="R127">
        <v>0</v>
      </c>
    </row>
    <row r="128" spans="1:18">
      <c r="A128" s="12" t="s">
        <v>40</v>
      </c>
      <c r="B128" s="21" t="s">
        <v>40</v>
      </c>
      <c r="C128" s="12" t="s">
        <v>40</v>
      </c>
      <c r="D128" s="12" t="s">
        <v>41</v>
      </c>
      <c r="E128" s="36" t="s">
        <v>192</v>
      </c>
      <c r="F128" s="12" t="s">
        <v>40</v>
      </c>
      <c r="G128" s="21" t="s">
        <v>40</v>
      </c>
      <c r="H128" s="21" t="s">
        <v>40</v>
      </c>
      <c r="I128" s="12">
        <v>4</v>
      </c>
      <c r="J128" s="12">
        <v>1</v>
      </c>
      <c r="K128" s="22">
        <v>0.5</v>
      </c>
      <c r="L128" s="2"/>
      <c r="O128">
        <v>0</v>
      </c>
      <c r="P128">
        <v>0</v>
      </c>
      <c r="Q128">
        <v>0</v>
      </c>
      <c r="R128">
        <v>0</v>
      </c>
    </row>
    <row r="129" spans="1:18">
      <c r="A129" s="12" t="s">
        <v>40</v>
      </c>
      <c r="B129" s="21" t="s">
        <v>40</v>
      </c>
      <c r="C129" s="12" t="s">
        <v>40</v>
      </c>
      <c r="D129" s="12" t="s">
        <v>41</v>
      </c>
      <c r="E129" s="36" t="s">
        <v>193</v>
      </c>
      <c r="F129" s="12" t="s">
        <v>40</v>
      </c>
      <c r="G129" s="21" t="s">
        <v>40</v>
      </c>
      <c r="H129" s="21" t="s">
        <v>40</v>
      </c>
      <c r="I129" s="12">
        <v>4</v>
      </c>
      <c r="J129" s="12">
        <v>1</v>
      </c>
      <c r="K129" s="22">
        <v>1</v>
      </c>
      <c r="L129" s="2"/>
      <c r="O129">
        <v>0</v>
      </c>
      <c r="P129">
        <v>0</v>
      </c>
      <c r="Q129">
        <v>0</v>
      </c>
      <c r="R129">
        <v>0</v>
      </c>
    </row>
    <row r="130" spans="1:18">
      <c r="A130" s="12" t="s">
        <v>40</v>
      </c>
      <c r="B130" s="21" t="s">
        <v>40</v>
      </c>
      <c r="C130" s="12" t="s">
        <v>40</v>
      </c>
      <c r="D130" s="12" t="s">
        <v>41</v>
      </c>
      <c r="E130" s="36" t="s">
        <v>194</v>
      </c>
      <c r="F130" s="12" t="s">
        <v>40</v>
      </c>
      <c r="G130" s="35" t="s">
        <v>195</v>
      </c>
      <c r="H130" s="21" t="s">
        <v>40</v>
      </c>
      <c r="I130" s="12">
        <v>4</v>
      </c>
      <c r="J130" s="12">
        <v>1</v>
      </c>
      <c r="K130" s="22">
        <v>0.5</v>
      </c>
      <c r="L130" s="2"/>
      <c r="O130">
        <v>0</v>
      </c>
      <c r="P130">
        <v>0</v>
      </c>
      <c r="Q130">
        <v>0</v>
      </c>
      <c r="R130">
        <v>0</v>
      </c>
    </row>
    <row r="131" spans="1:18">
      <c r="A131" s="12" t="s">
        <v>40</v>
      </c>
      <c r="B131" s="21" t="s">
        <v>40</v>
      </c>
      <c r="C131" s="12" t="s">
        <v>40</v>
      </c>
      <c r="D131" s="12" t="s">
        <v>41</v>
      </c>
      <c r="E131" s="36" t="s">
        <v>196</v>
      </c>
      <c r="F131" s="12" t="s">
        <v>40</v>
      </c>
      <c r="G131" s="21" t="s">
        <v>40</v>
      </c>
      <c r="H131" s="21" t="s">
        <v>40</v>
      </c>
      <c r="I131" s="12">
        <v>4</v>
      </c>
      <c r="J131" s="12">
        <v>1</v>
      </c>
      <c r="K131" s="22">
        <v>0.5</v>
      </c>
      <c r="L131" s="2"/>
      <c r="O131">
        <v>0</v>
      </c>
      <c r="P131">
        <v>0</v>
      </c>
      <c r="Q131">
        <v>0</v>
      </c>
      <c r="R131">
        <v>0</v>
      </c>
    </row>
    <row r="132" spans="1:18">
      <c r="A132" s="12" t="s">
        <v>40</v>
      </c>
      <c r="B132" s="21" t="s">
        <v>40</v>
      </c>
      <c r="C132" s="12" t="s">
        <v>40</v>
      </c>
      <c r="D132" s="12" t="s">
        <v>41</v>
      </c>
      <c r="E132" s="36" t="s">
        <v>197</v>
      </c>
      <c r="F132" s="12" t="s">
        <v>40</v>
      </c>
      <c r="G132" s="21" t="s">
        <v>40</v>
      </c>
      <c r="H132" s="21" t="s">
        <v>40</v>
      </c>
      <c r="I132" s="12">
        <v>3</v>
      </c>
      <c r="J132" s="12">
        <v>1</v>
      </c>
      <c r="K132" s="22">
        <v>0.25</v>
      </c>
      <c r="L132" s="2"/>
    </row>
    <row r="133" spans="1:18">
      <c r="A133" s="20"/>
      <c r="B133" s="21"/>
      <c r="C133" s="20"/>
      <c r="D133" s="20"/>
      <c r="E133" s="31"/>
      <c r="F133" s="20"/>
      <c r="G133" s="21"/>
      <c r="H133" s="21"/>
      <c r="I133" s="20"/>
      <c r="J133" s="20"/>
      <c r="K133" s="22"/>
      <c r="L133" s="2"/>
    </row>
    <row r="134" spans="1:18" ht="13.9" thickBot="1">
      <c r="A134" s="21" t="s">
        <v>40</v>
      </c>
      <c r="B134" s="21" t="s">
        <v>40</v>
      </c>
      <c r="C134" s="21" t="s">
        <v>40</v>
      </c>
      <c r="D134" s="21" t="s">
        <v>40</v>
      </c>
      <c r="E134" s="31" t="s">
        <v>40</v>
      </c>
      <c r="F134" s="21" t="s">
        <v>40</v>
      </c>
      <c r="G134" s="21" t="s">
        <v>40</v>
      </c>
      <c r="H134" s="21" t="s">
        <v>40</v>
      </c>
      <c r="I134" s="21" t="s">
        <v>40</v>
      </c>
      <c r="J134" s="21" t="s">
        <v>40</v>
      </c>
      <c r="K134" s="21" t="s">
        <v>40</v>
      </c>
    </row>
    <row r="135" spans="1:18" ht="40.9" customHeight="1" thickBot="1">
      <c r="A135" s="23"/>
      <c r="B135" s="24"/>
      <c r="C135" s="24"/>
      <c r="D135" s="24"/>
      <c r="E135" s="32"/>
      <c r="F135" s="24"/>
      <c r="G135" s="24"/>
      <c r="H135" s="24"/>
      <c r="I135" s="24"/>
      <c r="J135" s="24"/>
      <c r="K135" s="25"/>
      <c r="L135" s="4" t="s">
        <v>198</v>
      </c>
      <c r="M135" s="5" t="s">
        <v>32</v>
      </c>
      <c r="N135" s="6">
        <v>40</v>
      </c>
      <c r="O135">
        <f>SUM(O89:O130)</f>
        <v>3.75</v>
      </c>
      <c r="P135">
        <f>SUM(P89:P130)</f>
        <v>0.5</v>
      </c>
      <c r="Q135">
        <f>SUM(Q89:Q130)</f>
        <v>3.25</v>
      </c>
      <c r="R135">
        <f>SUM(R89:R130)</f>
        <v>3.5</v>
      </c>
    </row>
  </sheetData>
  <mergeCells count="13">
    <mergeCell ref="B4:H4"/>
    <mergeCell ref="A3:K3"/>
    <mergeCell ref="A1:K1"/>
    <mergeCell ref="B5:H5"/>
    <mergeCell ref="B6:H6"/>
    <mergeCell ref="B15:J15"/>
    <mergeCell ref="B16:J16"/>
    <mergeCell ref="B7:H7"/>
    <mergeCell ref="B8:H8"/>
    <mergeCell ref="A13:K13"/>
    <mergeCell ref="B14:J14"/>
    <mergeCell ref="I10:J10"/>
    <mergeCell ref="B9:H9"/>
  </mergeCells>
  <phoneticPr fontId="1" type="noConversion"/>
  <pageMargins left="0.39000000000000007" right="0.39000000000000007" top="0.87" bottom="0.59" header="0.2" footer="0.2"/>
  <pageSetup paperSize="9" orientation="landscape" r:id="rId1"/>
  <headerFooter>
    <oddHeader>&amp;R&amp;G</oddHeader>
    <oddFooter>&amp;L&amp;8Sheet: &amp;A
File: &amp;F&amp;C&amp;8Version: 
Date: &amp;R&amp;8&amp;P of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ColWidth="8.7109375" defaultRowHeight="13.15"/>
  <cols>
    <col min="1" max="1" width="21.28515625" customWidth="1"/>
    <col min="2" max="2" width="28.7109375" customWidth="1"/>
    <col min="3" max="3" width="7.140625" customWidth="1"/>
    <col min="4" max="4" width="69.42578125" customWidth="1"/>
  </cols>
  <sheetData>
    <row r="1" spans="1:4">
      <c r="A1" t="s">
        <v>199</v>
      </c>
      <c r="B1" t="s">
        <v>200</v>
      </c>
      <c r="C1" t="b">
        <v>1</v>
      </c>
      <c r="D1" t="s">
        <v>40</v>
      </c>
    </row>
    <row r="2" spans="1:4">
      <c r="A2" t="s">
        <v>201</v>
      </c>
      <c r="B2" t="s">
        <v>202</v>
      </c>
      <c r="C2" t="b">
        <v>1</v>
      </c>
      <c r="D2" t="s">
        <v>203</v>
      </c>
    </row>
    <row r="3" spans="1:4">
      <c r="A3" t="s">
        <v>204</v>
      </c>
      <c r="B3" t="s">
        <v>205</v>
      </c>
      <c r="C3" t="b">
        <v>1</v>
      </c>
      <c r="D3" t="s">
        <v>206</v>
      </c>
    </row>
    <row r="4" spans="1:4">
      <c r="A4" t="s">
        <v>207</v>
      </c>
      <c r="B4" t="s">
        <v>205</v>
      </c>
      <c r="C4" t="b">
        <v>1</v>
      </c>
      <c r="D4" t="s">
        <v>208</v>
      </c>
    </row>
    <row r="5" spans="1:4">
      <c r="A5" t="s">
        <v>209</v>
      </c>
      <c r="B5" t="s">
        <v>205</v>
      </c>
      <c r="C5" t="b">
        <v>1</v>
      </c>
      <c r="D5" t="s">
        <v>210</v>
      </c>
    </row>
    <row r="6" spans="1:4">
      <c r="A6" t="s">
        <v>211</v>
      </c>
      <c r="B6" t="s">
        <v>202</v>
      </c>
      <c r="C6" t="b">
        <v>1</v>
      </c>
      <c r="D6" t="s">
        <v>212</v>
      </c>
    </row>
  </sheetData>
  <pageMargins left="0.39000000000000007" right="0.39000000000000007" top="0.87" bottom="0.59" header="0.2" footer="0.2"/>
  <pageSetup paperSize="9" orientation="landscape" r:id="rId1"/>
  <headerFooter>
    <oddHeader>&amp;R&amp;G</oddHeader>
    <oddFooter>&amp;L&amp;8Sheet: &amp;A
File: &amp;F&amp;C&amp;8Version: 
Date: &amp;R&amp;8&amp;P of &amp;N</oddFooter>
  </headerFooter>
  <legacyDrawingHF r:id="rId2"/>
</worksheet>
</file>

<file path=docMetadata/LabelInfo.xml><?xml version="1.0" encoding="utf-8"?>
<clbl:labelList xmlns:clbl="http://schemas.microsoft.com/office/2020/mipLabelMetadata">
  <clbl:label id="{4148a6de-0dd1-4d04-a4c5-78e374e4f6d6}" enabled="0" method="" siteId="{4148a6de-0dd1-4d04-a4c5-78e374e4f6d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WorldSkills International Secretariat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Adam Walsh</dc:creator>
  <cp:keywords/>
  <dc:description/>
  <cp:lastModifiedBy/>
  <cp:revision/>
  <dcterms:created xsi:type="dcterms:W3CDTF">2010-04-27T04:25:00Z</dcterms:created>
  <dcterms:modified xsi:type="dcterms:W3CDTF">2026-06-11T19:44:56Z</dcterms:modified>
  <cp:category/>
  <cp:contentStatus/>
</cp:coreProperties>
</file>