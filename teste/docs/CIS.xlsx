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46" documentId="11_6C4DDA38864F55390D4D48A97F55920FD76D2C7E" xr6:coauthVersionLast="47" xr6:coauthVersionMax="47" xr10:uidLastSave="{CDB5D424-922F-42C2-9FE2-D193A8320890}"/>
  <bookViews>
    <workbookView xWindow="0" yWindow="0" windowWidth="0" windowHeight="0" xr2:uid="{00000000-000D-0000-FFFF-FFFF00000000}"/>
  </bookViews>
  <sheets>
    <sheet name="CIS Marking Scheme Im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pUeTpSikSjkty0WSuyfQ3E3okqlYTS2ygGxmfPQuH54="/>
    </ext>
  </extLst>
</workbook>
</file>

<file path=xl/calcChain.xml><?xml version="1.0" encoding="utf-8"?>
<calcChain xmlns="http://schemas.openxmlformats.org/spreadsheetml/2006/main">
  <c r="N327" i="1" l="1"/>
  <c r="N324" i="1"/>
  <c r="N318" i="1"/>
  <c r="N276" i="1"/>
  <c r="N228" i="1"/>
  <c r="N178" i="1"/>
  <c r="N121" i="1"/>
  <c r="N53" i="1"/>
  <c r="N26" i="1"/>
  <c r="N332" i="1" s="1"/>
  <c r="J9" i="1"/>
  <c r="K9" i="1" s="1"/>
  <c r="J8" i="1"/>
  <c r="K8" i="1" s="1"/>
  <c r="J7" i="1"/>
  <c r="K7" i="1" s="1"/>
  <c r="J6" i="1"/>
  <c r="K6" i="1" s="1"/>
  <c r="J5" i="1"/>
  <c r="K5" i="1" s="1"/>
  <c r="K10" i="1" s="1"/>
</calcChain>
</file>

<file path=xl/sharedStrings.xml><?xml version="1.0" encoding="utf-8"?>
<sst xmlns="http://schemas.openxmlformats.org/spreadsheetml/2006/main" count="2555" uniqueCount="439">
  <si>
    <t>17 Web Technologies</t>
  </si>
  <si>
    <t>WorldSkills Occupational Standards</t>
  </si>
  <si>
    <t>Section</t>
  </si>
  <si>
    <t>WSOS Marks</t>
  </si>
  <si>
    <t>Aspect Marks</t>
  </si>
  <si>
    <t>Variation</t>
  </si>
  <si>
    <t>Work organization and management</t>
  </si>
  <si>
    <t>Communication and interpersonal skills</t>
  </si>
  <si>
    <t>Design implementation</t>
  </si>
  <si>
    <t>Front-end development</t>
  </si>
  <si>
    <t>Back-end development</t>
  </si>
  <si>
    <t>Total Variation</t>
  </si>
  <si>
    <t>Criteria</t>
  </si>
  <si>
    <t>ID</t>
  </si>
  <si>
    <t>Name</t>
  </si>
  <si>
    <t>Mark</t>
  </si>
  <si>
    <t>A</t>
  </si>
  <si>
    <t>Speed Test Projects</t>
  </si>
  <si>
    <t>B</t>
  </si>
  <si>
    <t>Made-in-France Products API</t>
  </si>
  <si>
    <t>C</t>
  </si>
  <si>
    <t>Heritage static sites</t>
  </si>
  <si>
    <t>D</t>
  </si>
  <si>
    <t>City Data API</t>
  </si>
  <si>
    <t>E</t>
  </si>
  <si>
    <t>Photo Slideshow</t>
  </si>
  <si>
    <t>F</t>
  </si>
  <si>
    <t>Tourist Guide</t>
  </si>
  <si>
    <t>G</t>
  </si>
  <si>
    <t>Team Project</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</si>
  <si>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</si>
  <si>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</si>
  <si>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</si>
  <si>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</si>
  <si>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</si>
  <si>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</si>
  <si>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</si>
  <si>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</si>
  <si>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</si>
  <si>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</si>
  <si>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WSOS Section</t>
  </si>
  <si>
    <t>Calculation Row 
(Export only)</t>
  </si>
  <si>
    <t>Max
Mark</t>
  </si>
  <si>
    <t>Criterion A</t>
  </si>
  <si>
    <t>Total
Mark</t>
  </si>
  <si>
    <t>A1</t>
  </si>
  <si>
    <t>Mini Test Project General</t>
  </si>
  <si>
    <t>1</t>
  </si>
  <si>
    <t/>
  </si>
  <si>
    <t>M</t>
  </si>
  <si>
    <t>The mini test project is reachable as described</t>
  </si>
  <si>
    <t>/XX_module_a/</t>
  </si>
  <si>
    <t>The mini test project folders are separated and self-contained.</t>
  </si>
  <si>
    <t>At least one git commits is created for each mini speed test project</t>
  </si>
  <si>
    <t>Deduct 0.25 per missing</t>
  </si>
  <si>
    <t>Exact mini projects are provided.</t>
  </si>
  <si>
    <t>Not providing extra non-required project folders</t>
  </si>
  <si>
    <t>An index page is created to link to each speed test project</t>
  </si>
  <si>
    <t>The index page contains thumbnail and title to each speed test project</t>
  </si>
  <si>
    <t>Deduct 0.25 per missing.</t>
  </si>
  <si>
    <t>J</t>
  </si>
  <si>
    <t>Git commit messages is readable and easy to understand</t>
  </si>
  <si>
    <t>One or more git messages have only one line of content, which contains only one or two words, such as "update".</t>
  </si>
  <si>
    <t>One or more git messages have only one line of content</t>
  </si>
  <si>
    <t>All the git messages contain a line of title, an empty line, and one or more paragraph to explain the changes. The content is not clear on what's changed. Wordings are dummy or repeated.</t>
  </si>
  <si>
    <t>All the git messages contain a line of title, an empty line, and one or more paragraph to explain the changes. The content is self-independent and reader can understand from what is changed from the content without reading code diff.</t>
  </si>
  <si>
    <t>A2</t>
  </si>
  <si>
    <t>Design Implementation</t>
  </si>
  <si>
    <t>Speed Test Project 1 for Design Implementation</t>
  </si>
  <si>
    <t>each error of not following test project deduct 0.25</t>
  </si>
  <si>
    <t>Speed Test Project 2 for Design Implementation</t>
  </si>
  <si>
    <t>Speed Test Project 3 for Design Implementation</t>
  </si>
  <si>
    <t>A3</t>
  </si>
  <si>
    <t>Front-end Development</t>
  </si>
  <si>
    <t>Speed Test Project 1 for Front-end Development</t>
  </si>
  <si>
    <t>Speed Test Project 2 for Front-end Development</t>
  </si>
  <si>
    <t>Speed Test Project 3 for Front-end Development</t>
  </si>
  <si>
    <t>A4</t>
  </si>
  <si>
    <t>Back-end Development</t>
  </si>
  <si>
    <t>Speed Test Project 1 for Back-end Development</t>
  </si>
  <si>
    <t>Speed Test Project 2 for Back-end Development</t>
  </si>
  <si>
    <t>Speed Test Project 3 for Back-end Development</t>
  </si>
  <si>
    <t>Criterion B</t>
  </si>
  <si>
    <t>B1</t>
  </si>
  <si>
    <t>Admin</t>
  </si>
  <si>
    <t>Admin login page is at path /XX_module_b/login</t>
  </si>
  <si>
    <t>Admin can sign-in by using the login passphrase</t>
  </si>
  <si>
    <t>URL is reachable</t>
  </si>
  <si>
    <t>/XX_module_b/ and not showing blank page or error page</t>
  </si>
  <si>
    <t>A file named expert_readme.txt is provided to include executing guide</t>
  </si>
  <si>
    <t>filename is case insensitive. Any content is ok</t>
  </si>
  <si>
    <t>B2</t>
  </si>
  <si>
    <t>Database</t>
  </si>
  <si>
    <t>DB-dump is provided and contains FK-constraints and correct columns</t>
  </si>
  <si>
    <t>0.25 given if DB-dump is provided but not correctly containing FK-constraints</t>
  </si>
  <si>
    <t>ER diagram schema is provided</t>
  </si>
  <si>
    <t>GTIN field is indexed in products table</t>
  </si>
  <si>
    <t>Database column type is reasonable defined</t>
  </si>
  <si>
    <t>All columns use string type or text type</t>
  </si>
  <si>
    <t>Columns are basically in their related types. But numbers for int/float may not be optimized for operation.</t>
  </si>
  <si>
    <t>Columns are in their related types. For example, int, float, text, boolean, JSON. And are in proper length.</t>
  </si>
  <si>
    <t>Columns are in their related types. And the length of each type matches the use case. Status column are easy to understand and maintained. Including straightforward column value, or with comments.</t>
  </si>
  <si>
    <t>DB structure is normalized</t>
  </si>
  <si>
    <t>Not normalized, a lot of redundant data/fields</t>
  </si>
  <si>
    <t>Normalized with second normal form</t>
  </si>
  <si>
    <t>Normalized with third normal form (partial)</t>
  </si>
  <si>
    <t>Normalized with third normal form (full)</t>
  </si>
  <si>
    <t>B3</t>
  </si>
  <si>
    <t>Companies (Admin)</t>
  </si>
  <si>
    <t>Admin can view the list of companies</t>
  </si>
  <si>
    <t>With column as described, deduct 0.25 per missing field. List include deactivated companies</t>
  </si>
  <si>
    <t>Admin can view a particular company after clicking on the companies list</t>
  </si>
  <si>
    <t>Admin can view the associated products of a particular company in the company showing page</t>
  </si>
  <si>
    <t>Admin can create companies</t>
  </si>
  <si>
    <t>Admin can update companies information</t>
  </si>
  <si>
    <t>Admin can mark a company as deactivated</t>
  </si>
  <si>
    <t>All fields in companies are available for create</t>
  </si>
  <si>
    <t>Deduct 0.25 per error.</t>
  </si>
  <si>
    <t>When a company is deactivated, all the associated products are marked as hidden</t>
  </si>
  <si>
    <t>There is a separated list for listing deactivated companies</t>
  </si>
  <si>
    <t>No one can delete a company on the web interface</t>
  </si>
  <si>
    <t>Even if the company is deactivated, company cannot be deleted</t>
  </si>
  <si>
    <t>B4</t>
  </si>
  <si>
    <t>Products CRUD (Admin)</t>
  </si>
  <si>
    <t>Able to display products in a page via /XX_module_b/products</t>
  </si>
  <si>
    <t>No need to check if matching DB.</t>
  </si>
  <si>
    <t>The displayed products are dynamic loaded from database</t>
  </si>
  <si>
    <t>A specific product can be viewed in web page by admin only /XX_module_b/products/GTIN</t>
  </si>
  <si>
    <t>By admin only, not for public. Deduct 0.25 if URL format not correct</t>
  </si>
  <si>
    <t>Products can be marked as hidden by admin</t>
  </si>
  <si>
    <t>Hidden products can be permanently deleted</t>
  </si>
  <si>
    <t>Only products that are already hidden can be operated. Deduct 0.25 if any products can be deleted.</t>
  </si>
  <si>
    <t>When accessing the /products/new URL, the create product form is present</t>
  </si>
  <si>
    <t>Newly created product can be saved to database</t>
  </si>
  <si>
    <t>The product management functions are only visible and operable after admin login</t>
  </si>
  <si>
    <t>Accessing product management functions without login results in 401 error</t>
  </si>
  <si>
    <t>Products has two languages of information, English and French</t>
  </si>
  <si>
    <t>for the name, description fields</t>
  </si>
  <si>
    <t>The form submission checks if GTIN is 13 or 14 length</t>
  </si>
  <si>
    <t>Server-side Form verification</t>
  </si>
  <si>
    <t>Admin can upload image</t>
  </si>
  <si>
    <t>Admin can change image</t>
  </si>
  <si>
    <t>Admin can remove the uploaded image</t>
  </si>
  <si>
    <t>There is a default placeholder image when no image is uploaded</t>
  </si>
  <si>
    <t>B5</t>
  </si>
  <si>
    <t>Products API</t>
  </si>
  <si>
    <t>The products API output can list JSON</t>
  </si>
  <si>
    <t>GET /XX_module_b/products.json</t>
  </si>
  <si>
    <t>The products list API is correct</t>
  </si>
  <si>
    <t>all columns for products and data is correct. Deduct 0.25 per error</t>
  </si>
  <si>
    <t>The pagination of products list API is correct</t>
  </si>
  <si>
    <t>All columns for pagination is correct. Deduct 0.25 per error</t>
  </si>
  <si>
    <t>A single product can be queried via JSON</t>
  </si>
  <si>
    <t>GET /XX_module_b/products/GTIN.json</t>
  </si>
  <si>
    <t>The single product fields are correct according to the Test Project</t>
  </si>
  <si>
    <t>Deduct 0.25 per error</t>
  </si>
  <si>
    <t>The product API returns 404 when accessing a non-exist product</t>
  </si>
  <si>
    <t>GET /XX_module_b/products/GTIN.json that GTIN does not exist</t>
  </si>
  <si>
    <t>The product API returns 404 when accessing a hidden product</t>
  </si>
  <si>
    <t>GET /XX_module_b/products/GTIN.json when that product is marked as hidden</t>
  </si>
  <si>
    <t>The products list JSON allows querying by using keyword.</t>
  </si>
  <si>
    <t>GET /products.json?query=KEYWORD. Search name, name in French, description, description in French. Deduct 0.25 per error</t>
  </si>
  <si>
    <t>B6</t>
  </si>
  <si>
    <t>GTIN Query and Verification</t>
  </si>
  <si>
    <t>Able to load the verification page</t>
  </si>
  <si>
    <t>There is title, bulk-input text area, and a submit button. Deduct 0.25 per missing.</t>
  </si>
  <si>
    <t>Can input multiple GTIN code and submit to see result</t>
  </si>
  <si>
    <t>The result page data is correct</t>
  </si>
  <si>
    <t>The result page shows an "All corrects" and green tick when no any GTIN verification error</t>
  </si>
  <si>
    <t>B7</t>
  </si>
  <si>
    <t>Public facing product page</t>
  </si>
  <si>
    <t>A product's public page can be reached by accessing the /XX_module_b/01/GTIN</t>
  </si>
  <si>
    <t>The public product page shows the required field. And is in mobile layout.</t>
  </si>
  <si>
    <t>company name, product name, product description, product image, weight, net content. Deduct 0.25 per missing</t>
  </si>
  <si>
    <t>Can choose between English and French for the public product page</t>
  </si>
  <si>
    <t>The content changes accordingly</t>
  </si>
  <si>
    <t>The lang attribute for the page, French part and English part is correctly configured</t>
  </si>
  <si>
    <t>Criterion C</t>
  </si>
  <si>
    <t>C1</t>
  </si>
  <si>
    <t>Files and Listing</t>
  </si>
  <si>
    <t>2</t>
  </si>
  <si>
    <t>Home page is reachable as described</t>
  </si>
  <si>
    <t>/XX_module_c/</t>
  </si>
  <si>
    <t>The home page to list all pages and folders</t>
  </si>
  <si>
    <t>Only listing top level of content-pages folder. Regardless if title is correctly used, as long as it shows the correct files.</t>
  </si>
  <si>
    <t>Files are stored in the defined "content-pages" folder</t>
  </si>
  <si>
    <t>YYYY-MM-DD-title-here.[extension]</t>
  </si>
  <si>
    <t>The web page can list pages and folders in sub-folder</t>
  </si>
  <si>
    <t>Can click and link to specific page from the list</t>
  </si>
  <si>
    <t>Title follows the choice conditions</t>
  </si>
  <si>
    <t>First use the title frontmatter, then use the first h1, then use the capitalization of the file name. Deduct 0.5 per error</t>
  </si>
  <si>
    <t>Title extracting from filename is correctly implementation</t>
  </si>
  <si>
    <t>Removing YYYY-MM-DD date, removing extension, capitalize the title and remove the hyphen slug. Extract from YYYY-MM-DD-title-here.txt to Title Here. Deduct 0.5 per error.</t>
  </si>
  <si>
    <t>File without date is not listed</t>
  </si>
  <si>
    <t>File with future date is not listed</t>
  </si>
  <si>
    <t>File with draft is true is not listed</t>
  </si>
  <si>
    <t>case insensitive</t>
  </si>
  <si>
    <t>.gitignore is configured to skip node_modules folder and other temporary and built folder</t>
  </si>
  <si>
    <t>0.25 given if .gitignore file is created but not configured or is blank.</t>
  </si>
  <si>
    <t>C2</t>
  </si>
  <si>
    <t>Search and Tags</t>
  </si>
  <si>
    <t>The page list can be filtered by tags</t>
  </si>
  <si>
    <t>/XX_module_c/tags/:tag. If it is only reachable but not functional, 0.25 given.</t>
  </si>
  <si>
    <t>Able to search title, and content</t>
  </si>
  <si>
    <t>Able to search two query by using "/" between keyword</t>
  </si>
  <si>
    <t>they are OR logic</t>
  </si>
  <si>
    <t>C3</t>
  </si>
  <si>
    <t>Loading files</t>
  </si>
  <si>
    <t>File content for the top level of "content-pages" can be shown as a single page</t>
  </si>
  <si>
    <t>/XX_module_c/heritages/:slug</t>
  </si>
  <si>
    <t>File content that within a sub-folder of "content-pages" can be shown as a single page</t>
  </si>
  <si>
    <t>/XX_module_c/heritages/:folder/:slug</t>
  </si>
  <si>
    <t>File content that within nested sub-folder of "content-pages" can be shown as a single page</t>
  </si>
  <si>
    <t>/XX_module_c/heritages/:folder/:folder2/:slug</t>
  </si>
  <si>
    <t>The txt content are turned into paragraphs</t>
  </si>
  <si>
    <t>HTML tags are directly rendered into as-is HTML</t>
  </si>
  <si>
    <t>The line of image file paths are turned into image tag of individual paragraph tag</t>
  </si>
  <si>
    <t>no need to consider inline URL and image path.</t>
  </si>
  <si>
    <t>The front matter information is displayed in the web page correctly</t>
  </si>
  <si>
    <t>title, date, tags, draft</t>
  </si>
  <si>
    <t>Tags are linked to the tag querying URL</t>
  </si>
  <si>
    <t>The page list contains the summary from front-matter</t>
  </si>
  <si>
    <t>C4</t>
  </si>
  <si>
    <t>Layout</t>
  </si>
  <si>
    <t>The cover image is configured by frontmatter by default</t>
  </si>
  <si>
    <t>cover: file_path</t>
  </si>
  <si>
    <t>The cover image follows the same filename in images folder if not configured in frontmatter</t>
  </si>
  <si>
    <t>For example, YYYY-MM-DD-title-here.txt uses YYYY-MM-DD-title-here.jpeg</t>
  </si>
  <si>
    <t>The cover image has the defined subtle spotlight effect following the mouse effect</t>
  </si>
  <si>
    <t>The photo in the content has full-width of image</t>
  </si>
  <si>
    <t>The typography of title use the common-ligatures typography setting</t>
  </si>
  <si>
    <t>The meta information on the side is sticked to the top when scroll down.</t>
  </si>
  <si>
    <t>The first letter of the first paragraph has drop cap for 3 lines</t>
  </si>
  <si>
    <t>The photos in the content area can be enlarged when user clicked on the photos.</t>
  </si>
  <si>
    <t>Clicking the enlarged photo will close the enlarged photo and revert.</t>
  </si>
  <si>
    <t>Scrolling during photo enlarged will close the enlarged photo and revert.</t>
  </si>
  <si>
    <t>The single heritage page has social sharing meta tags defined</t>
  </si>
  <si>
    <t>open graph title, type, image, URL, description, twitter:card. Deduct 0.25 per missing. Should be dynamic related to the heritage.</t>
  </si>
  <si>
    <t>Accessibility, checked by aXe dev tool, Full page Scan</t>
  </si>
  <si>
    <t>Deduct 0.25 per critical and serious reported. (Moderate and minor allowed)</t>
  </si>
  <si>
    <t>The heritage single site page follows the defined layout</t>
  </si>
  <si>
    <t>There is a clear difference between the design and the website.</t>
  </si>
  <si>
    <t>There are minor differences between the design and the website.</t>
  </si>
  <si>
    <t>It is hard to find differences between the design and the website.</t>
  </si>
  <si>
    <t>The design and the website looks identical</t>
  </si>
  <si>
    <t>The heritage sites listing page follows the defined layout</t>
  </si>
  <si>
    <t>server-side code is easy to maintain</t>
  </si>
  <si>
    <t>Files and code are unorganized. No comments and code is mixed together.</t>
  </si>
  <si>
    <t>Files and code are separated and organized. Programmers can identify which part is which without much difficulties.</t>
  </si>
  <si>
    <t>Files and code are separated and organized, with few comments but no enough description on how each functionalities works</t>
  </si>
  <si>
    <t>Files and code are very well organized, with meaningful file names, class names, and meaningful comments to describe how each functionality works</t>
  </si>
  <si>
    <t>Criterion D</t>
  </si>
  <si>
    <t>D1</t>
  </si>
  <si>
    <t>Mobile Web General</t>
  </si>
  <si>
    <t>/XX_module_d/</t>
  </si>
  <si>
    <t>manifest.json file is configured for Android mobile web app view</t>
  </si>
  <si>
    <t>Deduct 0.25 for each missing configure item</t>
  </si>
  <si>
    <t>meta tag is configured for iOS mobile web app view</t>
  </si>
  <si>
    <t>The viewport is designed for mobile web app view</t>
  </si>
  <si>
    <t>There is bottom navigation bar with button/icon/links for carparks, events, weather, and settings</t>
  </si>
  <si>
    <t>Deduct 0.25 if clicking the 4 buttons not leading to correct view.</t>
  </si>
  <si>
    <t>The navigation bar is always stick to the bottom regardless of the content scrolling</t>
  </si>
  <si>
    <t>The header bar is always stick to the top regardless of the content scrolling</t>
  </si>
  <si>
    <t>D2</t>
  </si>
  <si>
    <t>Carpark</t>
  </si>
  <si>
    <t>The carpark availability list is displayed</t>
  </si>
  <si>
    <t>Deduct 0.25 if any fields are not correct</t>
  </si>
  <si>
    <t>The carpark data is loaded from API and correctly displayed</t>
  </si>
  <si>
    <t>Deduct 0.25 for each incorrect</t>
  </si>
  <si>
    <t>It is able to set location by latitude and longitude via URL query parameters</t>
  </si>
  <si>
    <t>The given latitude and longitude is displayed on the web page</t>
  </si>
  <si>
    <t>Able to request current geolocation</t>
  </si>
  <si>
    <t>Using Chrome, simulated GPS location. If not testable because of SSL or browser environment issue, existing of standard navigator.geolocation.getCurrentPosition function call is okay.</t>
  </si>
  <si>
    <t>Able to toggle between sorting carpark by alphabet and distance</t>
  </si>
  <si>
    <t>The carpark availability list can be sort by alphabet</t>
  </si>
  <si>
    <t>The carpark availability list can be sort by distance according to the geolocation distance</t>
  </si>
  <si>
    <t>Carpark can be pinned to top</t>
  </si>
  <si>
    <t>Pinned carpark list are saved and restored on page refresh</t>
  </si>
  <si>
    <t>User can click into one carpark and show the focus mode</t>
  </si>
  <si>
    <t>with availability keep refreshing every 10 seconds</t>
  </si>
  <si>
    <t>D3</t>
  </si>
  <si>
    <t>Events</t>
  </si>
  <si>
    <t>The events list is displayed</t>
  </si>
  <si>
    <t>The events list data is loaded from API and correctly displayed</t>
  </si>
  <si>
    <t>Event list has infinite scroll</t>
  </si>
  <si>
    <t>Infinite scroll data loading is correct</t>
  </si>
  <si>
    <t>Check no-repeat and no-skip of records</t>
  </si>
  <si>
    <t>There is input to select beginning date and ending date for searching events</t>
  </si>
  <si>
    <t>The events list can be queried by beginning date and ending date</t>
  </si>
  <si>
    <t>The infinite scroll is smooth</t>
  </si>
  <si>
    <t>Infinite scroll loading is not working almost</t>
  </si>
  <si>
    <t>The infinite scroll keeps loading is slow and laggy</t>
  </si>
  <si>
    <t>It almost doesn't feel the needs to wait and load. The pre-fetching is visible and still not lagging</t>
  </si>
  <si>
    <t>It doesn't feel waiting to load. Pre-fetching timing is good that user can barely detect the scrolling loading</t>
  </si>
  <si>
    <t>D4</t>
  </si>
  <si>
    <t>Weather</t>
  </si>
  <si>
    <t>The up-coming week weather is displayed</t>
  </si>
  <si>
    <t>No need to check fields missing</t>
  </si>
  <si>
    <t>The up-coming week weather data loaded from API and is correct</t>
  </si>
  <si>
    <t>The week weather is aligned horizontally</t>
  </si>
  <si>
    <t>left/right scrollable</t>
  </si>
  <si>
    <t>The week weather scrolling is snap to the day</t>
  </si>
  <si>
    <t>The weather SVG icon has the defined stroke animation on hover</t>
  </si>
  <si>
    <t>D5</t>
  </si>
  <si>
    <t>Settings &amp; General</t>
  </si>
  <si>
    <t>There is configure for the theme to be light, dark, following the system</t>
  </si>
  <si>
    <t>Able to switch between light theme and dark theme</t>
  </si>
  <si>
    <t>Able to set the theme to follow the system's light/dark</t>
  </si>
  <si>
    <t>Accessibility, for mobile, checked by Chrome Lighthouse</t>
  </si>
  <si>
    <t>Deduct 0.25 per error reported. (Warning allowed) (Choose only accessibility)</t>
  </si>
  <si>
    <t>Create easy-to-maintain JavaScript code</t>
  </si>
  <si>
    <t>JavaScript code is unorganized, without indentation and no comments</t>
  </si>
  <si>
    <t>JavaScript code have a good indentation, with meaningful variable names but not comments</t>
  </si>
  <si>
    <t>JavaScript code have a good indentation, with meaningful variable names and a few comments but no describe the functions and methods functionalities</t>
  </si>
  <si>
    <t>JavaScript code is very organized, with meaningful variable names, including perfect indentation and comments of the functions and methods</t>
  </si>
  <si>
    <t>Criterion E</t>
  </si>
  <si>
    <t>E1</t>
  </si>
  <si>
    <t>Loading image files</t>
  </si>
  <si>
    <t>3</t>
  </si>
  <si>
    <t>Module is reachable as described</t>
  </si>
  <si>
    <t>/XX_module_e/</t>
  </si>
  <si>
    <t>User is able to select photo image files</t>
  </si>
  <si>
    <t>Able to drag in photo image files to create slideshow</t>
  </si>
  <si>
    <t>Sample photos are used when user choose to load sample photos</t>
  </si>
  <si>
    <t>The caption is extracted from filename</t>
  </si>
  <si>
    <t>capitalize and removing slug</t>
  </si>
  <si>
    <t>E2</t>
  </si>
  <si>
    <t>Ordering photos</t>
  </si>
  <si>
    <t>There is a view, or a page, for re-ordering the selected photos</t>
  </si>
  <si>
    <t>via configuration</t>
  </si>
  <si>
    <t>The dragged in photos can be ordered manually by users</t>
  </si>
  <si>
    <t>Photos ordering can be done by drag and drop</t>
  </si>
  <si>
    <t>E3</t>
  </si>
  <si>
    <t>Slides Operating</t>
  </si>
  <si>
    <t>When config button is clicked, the config panel is displayed, with the operating options</t>
  </si>
  <si>
    <t>The 3 modes of switching is inside the config panel. The theme switching is inside the config panel.</t>
  </si>
  <si>
    <t>There are 3 modes for switching: manual control, auto-playing, random</t>
  </si>
  <si>
    <t>The slideshow can be controlled by keyboard</t>
  </si>
  <si>
    <t>Slideshow can be auto-played, in order</t>
  </si>
  <si>
    <t>One photo showing after another</t>
  </si>
  <si>
    <t>The slideshow can be played in random order</t>
  </si>
  <si>
    <t>The photo slideshow can be turned into fullscreen browsing</t>
  </si>
  <si>
    <t>E4</t>
  </si>
  <si>
    <t>Theme</t>
  </si>
  <si>
    <t>User is able to select themes</t>
  </si>
  <si>
    <t>in configuration panel</t>
  </si>
  <si>
    <t>When the CSS is disabled in web browser, user is still able to choose from the file input and display the selected photos.</t>
  </si>
  <si>
    <t>Regardless of the layout and style. Just listing all selected photos is ok.</t>
  </si>
  <si>
    <t>Theme A works as defined</t>
  </si>
  <si>
    <t>Photos toggling without any transition needed. Captions position and background/foreground color follows. Deduct 0.25 per error.</t>
  </si>
  <si>
    <t>Theme B works as defined</t>
  </si>
  <si>
    <t>Photos go in from left to right. go out from right to left. Captions animation in Theme B follows the definition. Deduct 0.25 per error.</t>
  </si>
  <si>
    <t>Theme C works as defined</t>
  </si>
  <si>
    <t>Photos go in from bottom to top, go out from top to bottom. Captions animation in Theme C follows the definition. Deduct 0.25 per error.</t>
  </si>
  <si>
    <t>Theme D works as defined</t>
  </si>
  <si>
    <t>Photos go in from left and hold at center. Go out to left. Captions animation in Theme D follows the definition. Deduct 0.25 per error.</t>
  </si>
  <si>
    <t>Theme E works as defined</t>
  </si>
  <si>
    <t>Photos go in with door open effect as described. Captions animation in Theme E follows the definition. Deduct 0.25 per error.</t>
  </si>
  <si>
    <t>A new theme is created, and named "Theme F"</t>
  </si>
  <si>
    <t>CSS for the themes are well organized and separate of concern</t>
  </si>
  <si>
    <t>Photos sliding in and out for Theme F is appealing</t>
  </si>
  <si>
    <t>No CSS animations implemented.</t>
  </si>
  <si>
    <t>Basic CSS animations implemented, which enhances some visual aspects.</t>
  </si>
  <si>
    <t>Good use of CSS animations, which enhances the visual
experience.</t>
  </si>
  <si>
    <t>Excellent use of CSS animations, with all animations enhancing the user experience and contributing to a cohesive design.</t>
  </si>
  <si>
    <t>Captions animation for Theme F is appealing</t>
  </si>
  <si>
    <t>E5</t>
  </si>
  <si>
    <t>Command Bar</t>
  </si>
  <si>
    <t>User is able to show command bar by pressing CTRL+K or "/"</t>
  </si>
  <si>
    <t>Able to switch theme in command bar</t>
  </si>
  <si>
    <t>by typing exact command and press ENTER</t>
  </si>
  <si>
    <t>Able to show options of partially matched commands choice</t>
  </si>
  <si>
    <t>Able to choose option by pressing keyboard up and down in the command bar</t>
  </si>
  <si>
    <t>Able to switch operating mode in command bar</t>
  </si>
  <si>
    <t>manual control, auto-playing, random</t>
  </si>
  <si>
    <t>Able to return normal from command bar dialog by pressing ESC keyboard</t>
  </si>
  <si>
    <t>When the command bar is activated, the other part of the web page is dimmed</t>
  </si>
  <si>
    <t>Criterion F</t>
  </si>
  <si>
    <t>F1</t>
  </si>
  <si>
    <t>Responsive loading</t>
  </si>
  <si>
    <t>/XX_module_f/</t>
  </si>
  <si>
    <t>The web page loads the provided low-resolution image file when the screen is less then 760px.</t>
  </si>
  <si>
    <t>The large resolution images are used when screen is at least 760px width</t>
  </si>
  <si>
    <t>When the device is offline, there is a minimal webpage that shows the header and "essential information".</t>
  </si>
  <si>
    <t>F2</t>
  </si>
  <si>
    <t>Video playback</t>
  </si>
  <si>
    <t>There is a button in the essential information area to play the address information text to speech in French</t>
  </si>
  <si>
    <t>When the video is scrolled into view, the video playback starts / resumes</t>
  </si>
  <si>
    <t>The video is muted. Threadshold is around 50% of the video area is visible for the auto-playing</t>
  </si>
  <si>
    <t>When the video is not in view, the video playback pauses</t>
  </si>
  <si>
    <t>When the web page is not visible, the video playback pauses.</t>
  </si>
  <si>
    <t>When the web page is visible again, the video playback resumes.</t>
  </si>
  <si>
    <t>F3</t>
  </si>
  <si>
    <t>Design and Layout Implementation</t>
  </si>
  <si>
    <t>The header layout is implemented</t>
  </si>
  <si>
    <t>The call to action big section layout is implemented</t>
  </si>
  <si>
    <t>The map attraction layout is implemented</t>
  </si>
  <si>
    <t>The video playback layout is implemented</t>
  </si>
  <si>
    <t>The essential information layout is implemented</t>
  </si>
  <si>
    <t>The latest events layout is implemented</t>
  </si>
  <si>
    <t>The tabs layout is implemented</t>
  </si>
  <si>
    <t>The contact layout is implemented</t>
  </si>
  <si>
    <t>The footer layout is implemented</t>
  </si>
  <si>
    <t>F4</t>
  </si>
  <si>
    <t>Effects</t>
  </si>
  <si>
    <t>The call-to-actions has the defined effect</t>
  </si>
  <si>
    <t>shinning effect, border-growing effect, mouse following interaction. deduct 0.25 per missing</t>
  </si>
  <si>
    <t>The header navigation has blurring glass effect</t>
  </si>
  <si>
    <t>The attraction is focused when hovering on the spot on the map</t>
  </si>
  <si>
    <t>Deduct 0.5 per missing</t>
  </si>
  <si>
    <t>The attraction card has the subtle lighting gradient effect as described on mouse hover</t>
  </si>
  <si>
    <t>F5</t>
  </si>
  <si>
    <t>Accessibility</t>
  </si>
  <si>
    <t>Fields in contact form is in logical order</t>
  </si>
  <si>
    <t>test tab index</t>
  </si>
  <si>
    <t>All text content is readable by screen reader</t>
  </si>
  <si>
    <t>Testing with NVAccess, with screen reader viewer, and should see all text content, including text content inside images.</t>
  </si>
  <si>
    <t>image alternatives text has proper applied</t>
  </si>
  <si>
    <t>most alt are missing, or just single simple word for the alt</t>
  </si>
  <si>
    <t>many alt are missing or only simple word. Not descriptive in most alt</t>
  </si>
  <si>
    <t>Most alt for photos are descriptive. (Regardless of gramma correctness)</t>
  </si>
  <si>
    <t>Photos has comprehensive description. (Regardless of gramma correctness). Decorative images are marked as ""</t>
  </si>
  <si>
    <t>F6</t>
  </si>
  <si>
    <t>Tabs</t>
  </si>
  <si>
    <t>The tabs custom elements are created</t>
  </si>
  <si>
    <t>Have to be non libraries. Only required to be visually there.</t>
  </si>
  <si>
    <t>The tabs work by mouse clicking</t>
  </si>
  <si>
    <t>The tabs work by keyboard left and right when focused</t>
  </si>
  <si>
    <t>The aria-selected is properly configured when switching tabs</t>
  </si>
  <si>
    <t>Criterion G</t>
  </si>
  <si>
    <t>G1</t>
  </si>
  <si>
    <t>Team</t>
  </si>
  <si>
    <t>4</t>
  </si>
  <si>
    <t>The competitor was able to work and organize the project files within the team</t>
  </si>
  <si>
    <t>Present the implementation</t>
  </si>
  <si>
    <t>Deduct 0.5 for missing communication or presentation</t>
  </si>
  <si>
    <t>Criterion H</t>
  </si>
  <si>
    <t>Criterion I</t>
  </si>
  <si>
    <t>Competition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</si>
</sst>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theme="1"/>
      <name val="Arial"/>
      <scheme val="minor"/>
    </font>
    <font>
      <sz val="18"/>
      <color rgb="FFFFFFFF"/>
      <name val="Arial"/>
    </font>
    <font>
      <sz val="10"/>
      <name val="Arial"/>
    </font>
    <font>
      <sz val="10"/>
      <color theme="1"/>
      <name val="Arial"/>
    </font>
    <font>
      <sz val="10"/>
      <color theme="1"/>
      <name val="Arial"/>
      <scheme val="minor"/>
    </font>
    <font>
      <sz val="16"/>
      <color rgb="FFFFFFFF"/>
      <name val="Arial"/>
    </font>
    <font>
      <sz val="10"/>
      <color rgb="FFFFFFFF"/>
      <name val="Arial"/>
    </font>
    <font>
      <sz val="16"/>
      <color theme="1"/>
      <name val="Arial"/>
    </font>
    <font>
      <sz val="16"/>
      <color rgb="FF000000"/>
      <name val="Arial"/>
    </font>
  </fonts>
  <fills count="3">
    <fill>
      <patternFill patternType="none"/>
    </fill>
    <fill>
      <patternFill patternType="gray125"/>
    </fill>
    <fill>
      <patternFill patternType="solid">
        <fgColor rgb="FF969696"/>
        <bgColor rgb="FF969696"/>
      </patternFill>
    </fill>
  </fills>
  <borders count="1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3">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wrapText="1"/>
    </xf>
    <xf numFmtId="0" fontId="3" fillId="0" borderId="4" xfId="0" applyFont="1" applyBorder="1" applyAlignment="1">
      <alignment horizontal="center" vertical="center"/>
    </xf>
    <xf numFmtId="2" fontId="3" fillId="0" borderId="5" xfId="0" applyNumberFormat="1" applyFont="1" applyBorder="1" applyAlignment="1">
      <alignment horizontal="center" vertical="center"/>
    </xf>
    <xf numFmtId="2" fontId="3" fillId="0" borderId="4" xfId="0" applyNumberFormat="1" applyFont="1" applyBorder="1" applyAlignment="1">
      <alignment horizontal="center" vertical="center"/>
    </xf>
    <xf numFmtId="0" fontId="3" fillId="0" borderId="6" xfId="0" applyFont="1" applyBorder="1" applyAlignment="1">
      <alignment horizontal="center" vertical="center"/>
    </xf>
    <xf numFmtId="2" fontId="3" fillId="0" borderId="6" xfId="0" applyNumberFormat="1" applyFont="1" applyBorder="1" applyAlignment="1">
      <alignment horizontal="center" vertical="center"/>
    </xf>
    <xf numFmtId="0" fontId="3" fillId="0" borderId="0" xfId="0" applyFont="1"/>
    <xf numFmtId="0" fontId="6" fillId="0" borderId="0" xfId="0" applyFont="1" applyAlignment="1">
      <alignment horizontal="center" vertical="center" wrapText="1"/>
    </xf>
    <xf numFmtId="2" fontId="3" fillId="0" borderId="0" xfId="0" applyNumberFormat="1" applyFont="1"/>
    <xf numFmtId="0" fontId="6" fillId="2" borderId="9"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2" fontId="7" fillId="0" borderId="0" xfId="0" applyNumberFormat="1" applyFont="1" applyAlignment="1">
      <alignment horizontal="center" vertical="center"/>
    </xf>
    <xf numFmtId="0" fontId="3" fillId="0" borderId="5" xfId="0" applyFont="1" applyBorder="1" applyAlignment="1">
      <alignment horizontal="left" vertical="center"/>
    </xf>
    <xf numFmtId="0" fontId="3" fillId="0" borderId="5" xfId="0" applyFont="1" applyBorder="1" applyAlignment="1">
      <alignment horizontal="left" vertical="center" wrapText="1"/>
    </xf>
    <xf numFmtId="0" fontId="3" fillId="0" borderId="8" xfId="0" applyFont="1" applyBorder="1" applyAlignment="1">
      <alignment horizontal="left" vertical="center"/>
    </xf>
    <xf numFmtId="0" fontId="3" fillId="0" borderId="8" xfId="0" applyFont="1" applyBorder="1" applyAlignment="1">
      <alignment horizontal="left" vertical="center" wrapText="1"/>
    </xf>
    <xf numFmtId="0" fontId="6"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0" borderId="0" xfId="0" applyFont="1" applyAlignment="1">
      <alignment horizontal="left" vertical="center"/>
    </xf>
    <xf numFmtId="0" fontId="3" fillId="0" borderId="7" xfId="0" applyFont="1" applyBorder="1" applyAlignment="1">
      <alignment horizontal="left" vertical="center"/>
    </xf>
    <xf numFmtId="0" fontId="3" fillId="0" borderId="1" xfId="0" applyFont="1" applyBorder="1" applyAlignment="1">
      <alignment horizontal="center" vertical="center"/>
    </xf>
    <xf numFmtId="0" fontId="2" fillId="0" borderId="2" xfId="0" applyFont="1" applyBorder="1" applyAlignment="1"/>
    <xf numFmtId="0" fontId="2" fillId="0" borderId="3" xfId="0" applyFont="1" applyBorder="1" applyAlignment="1"/>
    <xf numFmtId="0" fontId="0" fillId="0" borderId="0" xfId="0" applyAlignment="1"/>
    <xf numFmtId="0" fontId="2" fillId="0" borderId="5" xfId="0" applyFont="1" applyBorder="1" applyAlignment="1"/>
    <xf numFmtId="0" fontId="2" fillId="0" borderId="7" xfId="0" applyFont="1" applyBorder="1" applyAlignment="1"/>
    <xf numFmtId="0" fontId="2" fillId="0" borderId="8"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ustomXml" Target="../customXml/item1.xml"/><Relationship Id="rId12" Type="http://schemas.openxmlformats.org/officeDocument/2006/relationships/calcChain" Target="calcChain.xml"/><Relationship Id="rId1" Type="http://schemas.openxmlformats.org/officeDocument/2006/relationships/worksheet" Target="worksheets/sheet1.xml"/><Relationship Id="rId11" Type="http://schemas.openxmlformats.org/officeDocument/2006/relationships/sharedStrings" Target="sharedStrings.xml"/><Relationship Id="rId15" Type="http://schemas.openxmlformats.org/officeDocument/2006/relationships/customXml" Target="../customXml/item3.xml"/><Relationship Id="rId10" Type="http://schemas.openxmlformats.org/officeDocument/2006/relationships/styles" Target="styles.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3"/>
  <sheetViews>
    <sheetView tabSelected="1" topLeftCell="E1" workbookViewId="0">
      <selection activeCell="J5" sqref="J5"/>
    </sheetView>
  </sheetViews>
  <sheetFormatPr defaultColWidth="12.5703125" defaultRowHeight="12.75"/>
  <cols>
    <col min="1" max="1" width="7.5703125" customWidth="1"/>
    <col min="2" max="2" width="39" customWidth="1"/>
    <col min="3" max="3" width="7.85546875" customWidth="1"/>
    <col min="4" max="4" width="8.42578125" customWidth="1"/>
    <col min="5" max="5" width="65" customWidth="1"/>
    <col min="6" max="6" width="8" customWidth="1"/>
    <col min="7" max="7" width="41.5703125" customWidth="1"/>
    <col min="8" max="8" width="15.42578125" customWidth="1"/>
    <col min="9" max="9" width="11.42578125" customWidth="1"/>
    <col min="10" max="10" width="11" customWidth="1"/>
    <col min="11" max="11" width="10.5703125" customWidth="1"/>
    <col min="12" max="12" width="18.42578125" customWidth="1"/>
    <col min="13" max="13" width="8.85546875" customWidth="1"/>
    <col min="14" max="14" width="10.5703125" customWidth="1"/>
    <col min="15" max="26" width="8.85546875" customWidth="1"/>
  </cols>
  <sheetData>
    <row r="1" spans="1:11" ht="39" customHeight="1">
      <c r="A1" s="21" t="s">
        <v>0</v>
      </c>
      <c r="B1" s="27"/>
      <c r="C1" s="27"/>
      <c r="D1" s="27"/>
      <c r="E1" s="27"/>
      <c r="F1" s="27"/>
      <c r="G1" s="27"/>
      <c r="H1" s="27"/>
      <c r="I1" s="27"/>
      <c r="J1" s="27"/>
      <c r="K1" s="28"/>
    </row>
    <row r="2" spans="1:11">
      <c r="C2" s="1"/>
      <c r="E2" s="2"/>
      <c r="G2" s="3"/>
      <c r="J2" s="1"/>
    </row>
    <row r="3" spans="1:11" ht="39.75" customHeight="1">
      <c r="A3" s="22" t="s">
        <v>1</v>
      </c>
      <c r="B3" s="27"/>
      <c r="C3" s="27"/>
      <c r="D3" s="27"/>
      <c r="E3" s="27"/>
      <c r="F3" s="27"/>
      <c r="G3" s="27"/>
      <c r="H3" s="27"/>
      <c r="I3" s="27"/>
      <c r="J3" s="27"/>
      <c r="K3" s="28"/>
    </row>
    <row r="4" spans="1:11" ht="24">
      <c r="A4" s="20" t="s">
        <v>2</v>
      </c>
      <c r="B4" s="23" t="s">
        <v>3</v>
      </c>
      <c r="C4" s="27"/>
      <c r="D4" s="27"/>
      <c r="E4" s="27"/>
      <c r="F4" s="27"/>
      <c r="G4" s="27"/>
      <c r="H4" s="28"/>
      <c r="I4" s="20" t="s">
        <v>3</v>
      </c>
      <c r="J4" s="20" t="s">
        <v>4</v>
      </c>
      <c r="K4" s="20" t="s">
        <v>5</v>
      </c>
    </row>
    <row r="5" spans="1:11">
      <c r="A5" s="4">
        <v>1</v>
      </c>
      <c r="B5" s="24" t="s">
        <v>6</v>
      </c>
      <c r="C5" s="29"/>
      <c r="D5" s="29"/>
      <c r="E5" s="29"/>
      <c r="F5" s="29"/>
      <c r="G5" s="29"/>
      <c r="H5" s="30"/>
      <c r="I5" s="5">
        <v>5</v>
      </c>
      <c r="J5" s="6">
        <f>SUMIF(I27:I331, A5, K27:K331)</f>
        <v>4.75</v>
      </c>
      <c r="K5" s="6">
        <f t="shared" ref="K5:K9" si="0">ABS(I5-J5)</f>
        <v>0.25</v>
      </c>
    </row>
    <row r="6" spans="1:11">
      <c r="A6" s="4">
        <v>2</v>
      </c>
      <c r="B6" s="24" t="s">
        <v>7</v>
      </c>
      <c r="C6" s="29"/>
      <c r="D6" s="29"/>
      <c r="E6" s="29"/>
      <c r="F6" s="29"/>
      <c r="G6" s="29"/>
      <c r="H6" s="30"/>
      <c r="I6" s="5">
        <v>5</v>
      </c>
      <c r="J6" s="6">
        <f>SUMIF(I27:I331, A6, K27:K331)</f>
        <v>5</v>
      </c>
      <c r="K6" s="6">
        <f t="shared" si="0"/>
        <v>0</v>
      </c>
    </row>
    <row r="7" spans="1:11">
      <c r="A7" s="4">
        <v>3</v>
      </c>
      <c r="B7" s="24" t="s">
        <v>8</v>
      </c>
      <c r="C7" s="29"/>
      <c r="D7" s="29"/>
      <c r="E7" s="29"/>
      <c r="F7" s="29"/>
      <c r="G7" s="29"/>
      <c r="H7" s="30"/>
      <c r="I7" s="5">
        <v>25</v>
      </c>
      <c r="J7" s="6">
        <f>SUMIF(I27:I331, A7, K27:K331)</f>
        <v>25.5</v>
      </c>
      <c r="K7" s="6">
        <f t="shared" si="0"/>
        <v>0.5</v>
      </c>
    </row>
    <row r="8" spans="1:11">
      <c r="A8" s="4">
        <v>4</v>
      </c>
      <c r="B8" s="24" t="s">
        <v>9</v>
      </c>
      <c r="C8" s="29"/>
      <c r="D8" s="29"/>
      <c r="E8" s="29"/>
      <c r="F8" s="29"/>
      <c r="G8" s="29"/>
      <c r="H8" s="30"/>
      <c r="I8" s="5">
        <v>25</v>
      </c>
      <c r="J8" s="6">
        <f>SUMIF(I27:I331, A8, K27:K331)</f>
        <v>25.75</v>
      </c>
      <c r="K8" s="6">
        <f t="shared" si="0"/>
        <v>0.75</v>
      </c>
    </row>
    <row r="9" spans="1:11">
      <c r="A9" s="7">
        <v>5</v>
      </c>
      <c r="B9" s="25" t="s">
        <v>10</v>
      </c>
      <c r="C9" s="31"/>
      <c r="D9" s="31"/>
      <c r="E9" s="31"/>
      <c r="F9" s="31"/>
      <c r="G9" s="31"/>
      <c r="H9" s="32"/>
      <c r="I9" s="8">
        <v>40</v>
      </c>
      <c r="J9" s="8">
        <f>SUMIF(I27:I331, A9, K27:K331)</f>
        <v>39</v>
      </c>
      <c r="K9" s="8">
        <f t="shared" si="0"/>
        <v>1</v>
      </c>
    </row>
    <row r="10" spans="1:11">
      <c r="C10" s="1"/>
      <c r="E10" s="2"/>
      <c r="G10" s="3"/>
      <c r="I10" s="26" t="s">
        <v>11</v>
      </c>
      <c r="J10" s="28"/>
      <c r="K10" s="8">
        <f>SUM(K5:K9)</f>
        <v>2.5</v>
      </c>
    </row>
    <row r="11" spans="1:11">
      <c r="C11" s="1"/>
      <c r="E11" s="2"/>
      <c r="G11" s="3"/>
      <c r="I11" s="1"/>
      <c r="J11" s="1"/>
      <c r="K11" s="9"/>
    </row>
    <row r="12" spans="1:11">
      <c r="C12" s="1"/>
      <c r="E12" s="2"/>
      <c r="G12" s="3"/>
      <c r="I12" s="1"/>
      <c r="J12" s="1"/>
    </row>
    <row r="13" spans="1:11" ht="39.75" customHeight="1">
      <c r="A13" s="22" t="s">
        <v>12</v>
      </c>
      <c r="B13" s="27"/>
      <c r="C13" s="27"/>
      <c r="D13" s="27"/>
      <c r="E13" s="27"/>
      <c r="F13" s="27"/>
      <c r="G13" s="27"/>
      <c r="H13" s="27"/>
      <c r="I13" s="27"/>
      <c r="J13" s="27"/>
      <c r="K13" s="28"/>
    </row>
    <row r="14" spans="1:11">
      <c r="A14" s="20" t="s">
        <v>13</v>
      </c>
      <c r="B14" s="23" t="s">
        <v>14</v>
      </c>
      <c r="C14" s="27"/>
      <c r="D14" s="27"/>
      <c r="E14" s="27"/>
      <c r="F14" s="27"/>
      <c r="G14" s="27"/>
      <c r="H14" s="27"/>
      <c r="I14" s="27"/>
      <c r="J14" s="28"/>
      <c r="K14" s="20" t="s">
        <v>15</v>
      </c>
    </row>
    <row r="15" spans="1:11">
      <c r="A15" s="4" t="s">
        <v>16</v>
      </c>
      <c r="B15" s="24" t="s">
        <v>17</v>
      </c>
      <c r="C15" s="29"/>
      <c r="D15" s="29"/>
      <c r="E15" s="29"/>
      <c r="F15" s="29"/>
      <c r="G15" s="29"/>
      <c r="H15" s="29"/>
      <c r="I15" s="29"/>
      <c r="J15" s="30"/>
      <c r="K15" s="5">
        <v>10</v>
      </c>
    </row>
    <row r="16" spans="1:11">
      <c r="A16" s="4" t="s">
        <v>18</v>
      </c>
      <c r="B16" s="24" t="s">
        <v>19</v>
      </c>
      <c r="C16" s="29"/>
      <c r="D16" s="29"/>
      <c r="E16" s="29"/>
      <c r="F16" s="29"/>
      <c r="G16" s="29"/>
      <c r="H16" s="29"/>
      <c r="I16" s="29"/>
      <c r="J16" s="30"/>
      <c r="K16" s="5">
        <v>23.5</v>
      </c>
    </row>
    <row r="17" spans="1:14">
      <c r="A17" s="4" t="s">
        <v>20</v>
      </c>
      <c r="B17" s="24" t="s">
        <v>21</v>
      </c>
      <c r="C17" s="29"/>
      <c r="D17" s="29"/>
      <c r="E17" s="29"/>
      <c r="F17" s="29"/>
      <c r="G17" s="29"/>
      <c r="H17" s="29"/>
      <c r="I17" s="29"/>
      <c r="J17" s="30"/>
      <c r="K17" s="5">
        <v>21.25</v>
      </c>
    </row>
    <row r="18" spans="1:14">
      <c r="A18" s="4" t="s">
        <v>22</v>
      </c>
      <c r="B18" s="24" t="s">
        <v>23</v>
      </c>
      <c r="C18" s="29"/>
      <c r="D18" s="29"/>
      <c r="E18" s="29"/>
      <c r="F18" s="29"/>
      <c r="G18" s="29"/>
      <c r="H18" s="29"/>
      <c r="I18" s="29"/>
      <c r="J18" s="30"/>
      <c r="K18" s="5">
        <v>12.75</v>
      </c>
    </row>
    <row r="19" spans="1:14">
      <c r="A19" s="4" t="s">
        <v>24</v>
      </c>
      <c r="B19" s="24" t="s">
        <v>25</v>
      </c>
      <c r="C19" s="29"/>
      <c r="D19" s="29"/>
      <c r="E19" s="29"/>
      <c r="F19" s="29"/>
      <c r="G19" s="29"/>
      <c r="H19" s="29"/>
      <c r="I19" s="29"/>
      <c r="J19" s="30"/>
      <c r="K19" s="5">
        <v>17</v>
      </c>
    </row>
    <row r="20" spans="1:14">
      <c r="A20" s="4" t="s">
        <v>26</v>
      </c>
      <c r="B20" s="24" t="s">
        <v>27</v>
      </c>
      <c r="C20" s="29"/>
      <c r="D20" s="29"/>
      <c r="E20" s="29"/>
      <c r="F20" s="29"/>
      <c r="G20" s="29"/>
      <c r="H20" s="29"/>
      <c r="I20" s="29"/>
      <c r="J20" s="30"/>
      <c r="K20" s="5">
        <v>13.5</v>
      </c>
    </row>
    <row r="21" spans="1:14">
      <c r="A21" s="4" t="s">
        <v>28</v>
      </c>
      <c r="B21" s="24" t="s">
        <v>29</v>
      </c>
      <c r="C21" s="29"/>
      <c r="D21" s="29"/>
      <c r="E21" s="29"/>
      <c r="F21" s="29"/>
      <c r="G21" s="29"/>
      <c r="H21" s="29"/>
      <c r="I21" s="29"/>
      <c r="J21" s="30"/>
      <c r="K21" s="5">
        <v>2</v>
      </c>
    </row>
    <row r="22" spans="1:14">
      <c r="A22" s="4" t="s">
        <v>30</v>
      </c>
      <c r="B22" s="24"/>
      <c r="C22" s="29"/>
      <c r="D22" s="29"/>
      <c r="E22" s="29"/>
      <c r="F22" s="29"/>
      <c r="G22" s="29"/>
      <c r="H22" s="29"/>
      <c r="I22" s="29"/>
      <c r="J22" s="30"/>
      <c r="K22" s="5"/>
    </row>
    <row r="23" spans="1:14">
      <c r="A23" s="7" t="s">
        <v>31</v>
      </c>
      <c r="B23" s="25"/>
      <c r="C23" s="31"/>
      <c r="D23" s="31"/>
      <c r="E23" s="31"/>
      <c r="F23" s="31"/>
      <c r="G23" s="31"/>
      <c r="H23" s="31"/>
      <c r="I23" s="31"/>
      <c r="J23" s="32"/>
      <c r="K23" s="8"/>
    </row>
    <row r="24" spans="1:14">
      <c r="E24" s="3"/>
      <c r="F24" s="10"/>
      <c r="G24" s="10"/>
      <c r="H24" s="10"/>
      <c r="I24" s="10"/>
      <c r="J24" s="11"/>
    </row>
    <row r="25" spans="1:14">
      <c r="C25" s="11"/>
      <c r="E25" s="3"/>
      <c r="G25" s="3"/>
      <c r="H25" s="11"/>
      <c r="I25" s="11"/>
      <c r="J25" s="11"/>
    </row>
    <row r="26" spans="1:14" ht="60">
      <c r="A26" s="12" t="s">
        <v>32</v>
      </c>
      <c r="B26" s="12" t="s">
        <v>33</v>
      </c>
      <c r="C26" s="12" t="s">
        <v>34</v>
      </c>
      <c r="D26" s="12" t="s">
        <v>35</v>
      </c>
      <c r="E26" s="12" t="s">
        <v>36</v>
      </c>
      <c r="F26" s="12" t="s">
        <v>37</v>
      </c>
      <c r="G26" s="12" t="s">
        <v>38</v>
      </c>
      <c r="H26" s="12" t="s">
        <v>39</v>
      </c>
      <c r="I26" s="12" t="s">
        <v>40</v>
      </c>
      <c r="J26" s="12" t="s">
        <v>41</v>
      </c>
      <c r="K26" s="12" t="s">
        <v>42</v>
      </c>
      <c r="L26" s="13" t="s">
        <v>43</v>
      </c>
      <c r="M26" s="14" t="s">
        <v>44</v>
      </c>
      <c r="N26" s="15">
        <f>SUM(K27:K52)</f>
        <v>10</v>
      </c>
    </row>
    <row r="27" spans="1:14">
      <c r="A27" s="4" t="s">
        <v>45</v>
      </c>
      <c r="B27" s="16" t="s">
        <v>46</v>
      </c>
      <c r="C27" s="4" t="s">
        <v>47</v>
      </c>
      <c r="D27" s="16" t="s">
        <v>48</v>
      </c>
      <c r="E27" s="17" t="s">
        <v>48</v>
      </c>
      <c r="F27" s="16" t="s">
        <v>48</v>
      </c>
      <c r="G27" s="17" t="s">
        <v>48</v>
      </c>
      <c r="H27" s="16" t="s">
        <v>48</v>
      </c>
      <c r="I27" s="16" t="s">
        <v>48</v>
      </c>
      <c r="J27" s="16" t="s">
        <v>48</v>
      </c>
      <c r="K27" s="16" t="s">
        <v>48</v>
      </c>
    </row>
    <row r="28" spans="1:14">
      <c r="A28" s="4" t="s">
        <v>48</v>
      </c>
      <c r="B28" s="16" t="s">
        <v>48</v>
      </c>
      <c r="C28" s="4" t="s">
        <v>48</v>
      </c>
      <c r="D28" s="4" t="s">
        <v>49</v>
      </c>
      <c r="E28" s="17" t="s">
        <v>50</v>
      </c>
      <c r="F28" s="4" t="s">
        <v>48</v>
      </c>
      <c r="G28" s="17" t="s">
        <v>51</v>
      </c>
      <c r="H28" s="16" t="s">
        <v>48</v>
      </c>
      <c r="I28" s="4">
        <v>2</v>
      </c>
      <c r="J28" s="4">
        <v>1</v>
      </c>
      <c r="K28" s="5">
        <v>0.25</v>
      </c>
    </row>
    <row r="29" spans="1:14">
      <c r="A29" s="4" t="s">
        <v>48</v>
      </c>
      <c r="B29" s="16" t="s">
        <v>48</v>
      </c>
      <c r="C29" s="4" t="s">
        <v>48</v>
      </c>
      <c r="D29" s="4" t="s">
        <v>49</v>
      </c>
      <c r="E29" s="17" t="s">
        <v>52</v>
      </c>
      <c r="F29" s="4" t="s">
        <v>48</v>
      </c>
      <c r="G29" s="17" t="s">
        <v>48</v>
      </c>
      <c r="H29" s="16" t="s">
        <v>48</v>
      </c>
      <c r="I29" s="4">
        <v>1</v>
      </c>
      <c r="J29" s="4">
        <v>1</v>
      </c>
      <c r="K29" s="5">
        <v>0.25</v>
      </c>
    </row>
    <row r="30" spans="1:14">
      <c r="A30" s="4" t="s">
        <v>48</v>
      </c>
      <c r="B30" s="16" t="s">
        <v>48</v>
      </c>
      <c r="C30" s="4" t="s">
        <v>48</v>
      </c>
      <c r="D30" s="4" t="s">
        <v>49</v>
      </c>
      <c r="E30" s="17" t="s">
        <v>53</v>
      </c>
      <c r="F30" s="4" t="s">
        <v>48</v>
      </c>
      <c r="G30" s="17" t="s">
        <v>54</v>
      </c>
      <c r="H30" s="16" t="s">
        <v>48</v>
      </c>
      <c r="I30" s="4">
        <v>1</v>
      </c>
      <c r="J30" s="4">
        <v>2</v>
      </c>
      <c r="K30" s="5">
        <v>1</v>
      </c>
    </row>
    <row r="31" spans="1:14">
      <c r="A31" s="4" t="s">
        <v>48</v>
      </c>
      <c r="B31" s="16" t="s">
        <v>48</v>
      </c>
      <c r="C31" s="4" t="s">
        <v>48</v>
      </c>
      <c r="D31" s="4" t="s">
        <v>49</v>
      </c>
      <c r="E31" s="17" t="s">
        <v>55</v>
      </c>
      <c r="F31" s="4" t="s">
        <v>48</v>
      </c>
      <c r="G31" s="17" t="s">
        <v>56</v>
      </c>
      <c r="H31" s="16" t="s">
        <v>48</v>
      </c>
      <c r="I31" s="4">
        <v>2</v>
      </c>
      <c r="J31" s="4">
        <v>1</v>
      </c>
      <c r="K31" s="5">
        <v>0.25</v>
      </c>
    </row>
    <row r="32" spans="1:14">
      <c r="A32" s="4" t="s">
        <v>48</v>
      </c>
      <c r="B32" s="16" t="s">
        <v>48</v>
      </c>
      <c r="C32" s="4" t="s">
        <v>48</v>
      </c>
      <c r="D32" s="4" t="s">
        <v>49</v>
      </c>
      <c r="E32" s="17" t="s">
        <v>57</v>
      </c>
      <c r="F32" s="4" t="s">
        <v>48</v>
      </c>
      <c r="G32" s="17" t="s">
        <v>48</v>
      </c>
      <c r="H32" s="16" t="s">
        <v>48</v>
      </c>
      <c r="I32" s="4">
        <v>2</v>
      </c>
      <c r="J32" s="4">
        <v>1</v>
      </c>
      <c r="K32" s="5">
        <v>0.5</v>
      </c>
    </row>
    <row r="33" spans="1:11">
      <c r="A33" s="4" t="s">
        <v>48</v>
      </c>
      <c r="B33" s="16" t="s">
        <v>48</v>
      </c>
      <c r="C33" s="4" t="s">
        <v>48</v>
      </c>
      <c r="D33" s="4" t="s">
        <v>49</v>
      </c>
      <c r="E33" s="17" t="s">
        <v>58</v>
      </c>
      <c r="F33" s="4" t="s">
        <v>48</v>
      </c>
      <c r="G33" s="17" t="s">
        <v>59</v>
      </c>
      <c r="H33" s="16" t="s">
        <v>48</v>
      </c>
      <c r="I33" s="4">
        <v>2</v>
      </c>
      <c r="J33" s="4">
        <v>2</v>
      </c>
      <c r="K33" s="5">
        <v>1</v>
      </c>
    </row>
    <row r="34" spans="1:11">
      <c r="A34" s="4" t="s">
        <v>48</v>
      </c>
      <c r="B34" s="16" t="s">
        <v>48</v>
      </c>
      <c r="C34" s="4" t="s">
        <v>48</v>
      </c>
      <c r="D34" s="4" t="s">
        <v>60</v>
      </c>
      <c r="E34" s="17" t="s">
        <v>61</v>
      </c>
      <c r="F34" s="4" t="s">
        <v>48</v>
      </c>
      <c r="G34" s="17" t="s">
        <v>48</v>
      </c>
      <c r="H34" s="16" t="s">
        <v>48</v>
      </c>
      <c r="I34" s="4">
        <v>1</v>
      </c>
      <c r="J34" s="4"/>
      <c r="K34" s="5">
        <v>0.75</v>
      </c>
    </row>
    <row r="35" spans="1:11" ht="36">
      <c r="A35" s="4" t="s">
        <v>48</v>
      </c>
      <c r="B35" s="16" t="s">
        <v>48</v>
      </c>
      <c r="C35" s="4" t="s">
        <v>48</v>
      </c>
      <c r="D35" s="4" t="s">
        <v>48</v>
      </c>
      <c r="E35" s="17" t="s">
        <v>48</v>
      </c>
      <c r="F35" s="4">
        <v>0</v>
      </c>
      <c r="G35" s="17" t="s">
        <v>62</v>
      </c>
      <c r="H35" s="16" t="s">
        <v>48</v>
      </c>
      <c r="I35" s="4"/>
      <c r="J35" s="4"/>
      <c r="K35" s="5"/>
    </row>
    <row r="36" spans="1:11" ht="24">
      <c r="A36" s="4" t="s">
        <v>48</v>
      </c>
      <c r="B36" s="16" t="s">
        <v>48</v>
      </c>
      <c r="C36" s="4" t="s">
        <v>48</v>
      </c>
      <c r="D36" s="4" t="s">
        <v>48</v>
      </c>
      <c r="E36" s="17" t="s">
        <v>48</v>
      </c>
      <c r="F36" s="4">
        <v>1</v>
      </c>
      <c r="G36" s="17" t="s">
        <v>63</v>
      </c>
      <c r="H36" s="16" t="s">
        <v>48</v>
      </c>
      <c r="I36" s="4"/>
      <c r="J36" s="4"/>
      <c r="K36" s="5"/>
    </row>
    <row r="37" spans="1:11" ht="60.75" customHeight="1">
      <c r="A37" s="4" t="s">
        <v>48</v>
      </c>
      <c r="B37" s="16" t="s">
        <v>48</v>
      </c>
      <c r="C37" s="4" t="s">
        <v>48</v>
      </c>
      <c r="D37" s="4" t="s">
        <v>48</v>
      </c>
      <c r="E37" s="17" t="s">
        <v>48</v>
      </c>
      <c r="F37" s="4">
        <v>2</v>
      </c>
      <c r="G37" s="17" t="s">
        <v>64</v>
      </c>
      <c r="H37" s="16" t="s">
        <v>48</v>
      </c>
      <c r="I37" s="4"/>
      <c r="J37" s="4"/>
      <c r="K37" s="5"/>
    </row>
    <row r="38" spans="1:11" ht="85.5" customHeight="1">
      <c r="A38" s="4" t="s">
        <v>48</v>
      </c>
      <c r="B38" s="16" t="s">
        <v>48</v>
      </c>
      <c r="C38" s="4" t="s">
        <v>48</v>
      </c>
      <c r="D38" s="4" t="s">
        <v>48</v>
      </c>
      <c r="E38" s="17" t="s">
        <v>48</v>
      </c>
      <c r="F38" s="4">
        <v>3</v>
      </c>
      <c r="G38" s="17" t="s">
        <v>65</v>
      </c>
      <c r="H38" s="16" t="s">
        <v>48</v>
      </c>
      <c r="I38" s="4"/>
      <c r="J38" s="4"/>
      <c r="K38" s="5"/>
    </row>
    <row r="39" spans="1:11">
      <c r="A39" s="4" t="s">
        <v>66</v>
      </c>
      <c r="B39" s="16" t="s">
        <v>67</v>
      </c>
      <c r="C39" s="4" t="s">
        <v>47</v>
      </c>
      <c r="D39" s="16" t="s">
        <v>48</v>
      </c>
      <c r="E39" s="17" t="s">
        <v>48</v>
      </c>
      <c r="F39" s="16" t="s">
        <v>48</v>
      </c>
      <c r="G39" s="17" t="s">
        <v>48</v>
      </c>
      <c r="H39" s="16" t="s">
        <v>48</v>
      </c>
      <c r="I39" s="16" t="s">
        <v>48</v>
      </c>
      <c r="J39" s="16" t="s">
        <v>48</v>
      </c>
      <c r="K39" s="16" t="s">
        <v>48</v>
      </c>
    </row>
    <row r="40" spans="1:11" ht="24">
      <c r="A40" s="4" t="s">
        <v>48</v>
      </c>
      <c r="B40" s="16" t="s">
        <v>48</v>
      </c>
      <c r="C40" s="4" t="s">
        <v>48</v>
      </c>
      <c r="D40" s="4" t="s">
        <v>49</v>
      </c>
      <c r="E40" s="17" t="s">
        <v>68</v>
      </c>
      <c r="F40" s="4" t="s">
        <v>48</v>
      </c>
      <c r="G40" s="17" t="s">
        <v>69</v>
      </c>
      <c r="H40" s="16" t="s">
        <v>48</v>
      </c>
      <c r="I40" s="4">
        <v>3</v>
      </c>
      <c r="J40" s="4">
        <v>2</v>
      </c>
      <c r="K40" s="5">
        <v>0.66</v>
      </c>
    </row>
    <row r="41" spans="1:11" ht="24">
      <c r="A41" s="4" t="s">
        <v>48</v>
      </c>
      <c r="B41" s="16" t="s">
        <v>48</v>
      </c>
      <c r="C41" s="4" t="s">
        <v>48</v>
      </c>
      <c r="D41" s="4" t="s">
        <v>49</v>
      </c>
      <c r="E41" s="17" t="s">
        <v>70</v>
      </c>
      <c r="F41" s="4" t="s">
        <v>48</v>
      </c>
      <c r="G41" s="17" t="s">
        <v>69</v>
      </c>
      <c r="H41" s="16" t="s">
        <v>48</v>
      </c>
      <c r="I41" s="4">
        <v>3</v>
      </c>
      <c r="J41" s="4">
        <v>2</v>
      </c>
      <c r="K41" s="5">
        <v>0.67</v>
      </c>
    </row>
    <row r="42" spans="1:11" ht="24">
      <c r="A42" s="4"/>
      <c r="B42" s="16"/>
      <c r="C42" s="4"/>
      <c r="D42" s="4" t="s">
        <v>49</v>
      </c>
      <c r="E42" s="17" t="s">
        <v>71</v>
      </c>
      <c r="F42" s="4" t="s">
        <v>48</v>
      </c>
      <c r="G42" s="17" t="s">
        <v>69</v>
      </c>
      <c r="H42" s="16" t="s">
        <v>48</v>
      </c>
      <c r="I42" s="4">
        <v>3</v>
      </c>
      <c r="J42" s="4">
        <v>2</v>
      </c>
      <c r="K42" s="5">
        <v>0.67</v>
      </c>
    </row>
    <row r="43" spans="1:11">
      <c r="A43" s="4" t="s">
        <v>72</v>
      </c>
      <c r="B43" s="16" t="s">
        <v>73</v>
      </c>
      <c r="C43" s="4" t="s">
        <v>47</v>
      </c>
      <c r="D43" s="16" t="s">
        <v>48</v>
      </c>
      <c r="E43" s="17" t="s">
        <v>48</v>
      </c>
      <c r="F43" s="16" t="s">
        <v>48</v>
      </c>
      <c r="G43" s="17" t="s">
        <v>48</v>
      </c>
      <c r="H43" s="16" t="s">
        <v>48</v>
      </c>
      <c r="I43" s="16" t="s">
        <v>48</v>
      </c>
      <c r="J43" s="16" t="s">
        <v>48</v>
      </c>
      <c r="K43" s="5"/>
    </row>
    <row r="44" spans="1:11" ht="24">
      <c r="A44" s="4" t="s">
        <v>48</v>
      </c>
      <c r="B44" s="16" t="s">
        <v>48</v>
      </c>
      <c r="C44" s="4" t="s">
        <v>48</v>
      </c>
      <c r="D44" s="4" t="s">
        <v>49</v>
      </c>
      <c r="E44" s="17" t="s">
        <v>74</v>
      </c>
      <c r="F44" s="4" t="s">
        <v>48</v>
      </c>
      <c r="G44" s="17" t="s">
        <v>69</v>
      </c>
      <c r="H44" s="16" t="s">
        <v>48</v>
      </c>
      <c r="I44" s="4">
        <v>4</v>
      </c>
      <c r="J44" s="4">
        <v>2</v>
      </c>
      <c r="K44" s="5">
        <v>0.66</v>
      </c>
    </row>
    <row r="45" spans="1:11" ht="24">
      <c r="A45" s="4" t="s">
        <v>48</v>
      </c>
      <c r="B45" s="16" t="s">
        <v>48</v>
      </c>
      <c r="C45" s="4" t="s">
        <v>48</v>
      </c>
      <c r="D45" s="4" t="s">
        <v>49</v>
      </c>
      <c r="E45" s="17" t="s">
        <v>75</v>
      </c>
      <c r="F45" s="4" t="s">
        <v>48</v>
      </c>
      <c r="G45" s="17" t="s">
        <v>69</v>
      </c>
      <c r="H45" s="16" t="s">
        <v>48</v>
      </c>
      <c r="I45" s="4">
        <v>4</v>
      </c>
      <c r="J45" s="4">
        <v>2</v>
      </c>
      <c r="K45" s="5">
        <v>0.67</v>
      </c>
    </row>
    <row r="46" spans="1:11" ht="24">
      <c r="A46" s="4"/>
      <c r="B46" s="16"/>
      <c r="C46" s="4"/>
      <c r="D46" s="4" t="s">
        <v>49</v>
      </c>
      <c r="E46" s="17" t="s">
        <v>76</v>
      </c>
      <c r="F46" s="4" t="s">
        <v>48</v>
      </c>
      <c r="G46" s="17" t="s">
        <v>69</v>
      </c>
      <c r="H46" s="16" t="s">
        <v>48</v>
      </c>
      <c r="I46" s="4">
        <v>4</v>
      </c>
      <c r="J46" s="4">
        <v>2</v>
      </c>
      <c r="K46" s="5">
        <v>0.67</v>
      </c>
    </row>
    <row r="47" spans="1:11">
      <c r="A47" s="4" t="s">
        <v>77</v>
      </c>
      <c r="B47" s="16" t="s">
        <v>78</v>
      </c>
      <c r="C47" s="4" t="s">
        <v>47</v>
      </c>
      <c r="D47" s="16" t="s">
        <v>48</v>
      </c>
      <c r="E47" s="17" t="s">
        <v>48</v>
      </c>
      <c r="F47" s="16" t="s">
        <v>48</v>
      </c>
      <c r="G47" s="17" t="s">
        <v>48</v>
      </c>
      <c r="H47" s="16" t="s">
        <v>48</v>
      </c>
      <c r="I47" s="16" t="s">
        <v>48</v>
      </c>
      <c r="J47" s="16" t="s">
        <v>48</v>
      </c>
      <c r="K47" s="5"/>
    </row>
    <row r="48" spans="1:11" ht="24">
      <c r="A48" s="4" t="s">
        <v>48</v>
      </c>
      <c r="B48" s="16" t="s">
        <v>48</v>
      </c>
      <c r="C48" s="4" t="s">
        <v>48</v>
      </c>
      <c r="D48" s="4" t="s">
        <v>49</v>
      </c>
      <c r="E48" s="17" t="s">
        <v>79</v>
      </c>
      <c r="F48" s="4" t="s">
        <v>48</v>
      </c>
      <c r="G48" s="17" t="s">
        <v>69</v>
      </c>
      <c r="H48" s="16" t="s">
        <v>48</v>
      </c>
      <c r="I48" s="4">
        <v>5</v>
      </c>
      <c r="J48" s="4">
        <v>2</v>
      </c>
      <c r="K48" s="5">
        <v>0.66</v>
      </c>
    </row>
    <row r="49" spans="1:14" ht="24">
      <c r="A49" s="4" t="s">
        <v>48</v>
      </c>
      <c r="B49" s="16" t="s">
        <v>48</v>
      </c>
      <c r="C49" s="4" t="s">
        <v>48</v>
      </c>
      <c r="D49" s="4" t="s">
        <v>49</v>
      </c>
      <c r="E49" s="17" t="s">
        <v>80</v>
      </c>
      <c r="F49" s="4" t="s">
        <v>48</v>
      </c>
      <c r="G49" s="17" t="s">
        <v>69</v>
      </c>
      <c r="H49" s="16" t="s">
        <v>48</v>
      </c>
      <c r="I49" s="4">
        <v>5</v>
      </c>
      <c r="J49" s="4">
        <v>2</v>
      </c>
      <c r="K49" s="5">
        <v>0.67</v>
      </c>
    </row>
    <row r="50" spans="1:14" ht="24">
      <c r="A50" s="4"/>
      <c r="B50" s="16"/>
      <c r="C50" s="4"/>
      <c r="D50" s="4" t="s">
        <v>49</v>
      </c>
      <c r="E50" s="17" t="s">
        <v>81</v>
      </c>
      <c r="F50" s="4" t="s">
        <v>48</v>
      </c>
      <c r="G50" s="17" t="s">
        <v>69</v>
      </c>
      <c r="H50" s="16" t="s">
        <v>48</v>
      </c>
      <c r="I50" s="4">
        <v>5</v>
      </c>
      <c r="J50" s="4">
        <v>2</v>
      </c>
      <c r="K50" s="5">
        <v>0.67</v>
      </c>
    </row>
    <row r="51" spans="1:14">
      <c r="A51" s="4" t="s">
        <v>48</v>
      </c>
      <c r="B51" s="16" t="s">
        <v>48</v>
      </c>
      <c r="C51" s="4" t="s">
        <v>48</v>
      </c>
      <c r="D51" s="4" t="s">
        <v>48</v>
      </c>
      <c r="E51" s="17" t="s">
        <v>48</v>
      </c>
      <c r="F51" s="4" t="s">
        <v>48</v>
      </c>
      <c r="G51" s="17" t="s">
        <v>48</v>
      </c>
      <c r="H51" s="16" t="s">
        <v>48</v>
      </c>
      <c r="I51" s="4"/>
      <c r="J51" s="4"/>
      <c r="K51" s="5"/>
    </row>
    <row r="52" spans="1:14">
      <c r="A52" s="4" t="s">
        <v>48</v>
      </c>
      <c r="B52" s="16" t="s">
        <v>48</v>
      </c>
      <c r="C52" s="4" t="s">
        <v>48</v>
      </c>
      <c r="D52" s="4" t="s">
        <v>48</v>
      </c>
      <c r="E52" s="17" t="s">
        <v>48</v>
      </c>
      <c r="F52" s="4" t="s">
        <v>48</v>
      </c>
      <c r="G52" s="17" t="s">
        <v>48</v>
      </c>
      <c r="H52" s="16" t="s">
        <v>48</v>
      </c>
      <c r="I52" s="4"/>
      <c r="J52" s="4"/>
      <c r="K52" s="5"/>
    </row>
    <row r="53" spans="1:14" ht="60">
      <c r="A53" s="12" t="s">
        <v>32</v>
      </c>
      <c r="B53" s="12" t="s">
        <v>33</v>
      </c>
      <c r="C53" s="12" t="s">
        <v>34</v>
      </c>
      <c r="D53" s="12" t="s">
        <v>35</v>
      </c>
      <c r="E53" s="12" t="s">
        <v>36</v>
      </c>
      <c r="F53" s="12" t="s">
        <v>37</v>
      </c>
      <c r="G53" s="12" t="s">
        <v>38</v>
      </c>
      <c r="H53" s="12" t="s">
        <v>39</v>
      </c>
      <c r="I53" s="12" t="s">
        <v>40</v>
      </c>
      <c r="J53" s="12" t="s">
        <v>41</v>
      </c>
      <c r="K53" s="12" t="s">
        <v>42</v>
      </c>
      <c r="L53" s="13" t="s">
        <v>82</v>
      </c>
      <c r="M53" s="14" t="s">
        <v>44</v>
      </c>
      <c r="N53" s="15">
        <f>SUM(K54:K120)</f>
        <v>23.5</v>
      </c>
    </row>
    <row r="54" spans="1:14">
      <c r="A54" s="4" t="s">
        <v>83</v>
      </c>
      <c r="B54" s="16" t="s">
        <v>84</v>
      </c>
      <c r="C54" s="4" t="s">
        <v>47</v>
      </c>
      <c r="D54" s="16" t="s">
        <v>48</v>
      </c>
      <c r="E54" s="17" t="s">
        <v>48</v>
      </c>
      <c r="F54" s="16" t="s">
        <v>48</v>
      </c>
      <c r="G54" s="17" t="s">
        <v>48</v>
      </c>
      <c r="H54" s="16" t="s">
        <v>48</v>
      </c>
      <c r="I54" s="16" t="s">
        <v>48</v>
      </c>
      <c r="J54" s="16" t="s">
        <v>48</v>
      </c>
      <c r="K54" s="16" t="s">
        <v>48</v>
      </c>
    </row>
    <row r="55" spans="1:14">
      <c r="A55" s="4" t="s">
        <v>48</v>
      </c>
      <c r="B55" s="16" t="s">
        <v>48</v>
      </c>
      <c r="C55" s="4" t="s">
        <v>48</v>
      </c>
      <c r="D55" s="4" t="s">
        <v>49</v>
      </c>
      <c r="E55" s="17" t="s">
        <v>85</v>
      </c>
      <c r="F55" s="4" t="s">
        <v>48</v>
      </c>
      <c r="G55" s="17" t="s">
        <v>48</v>
      </c>
      <c r="H55" s="16" t="s">
        <v>48</v>
      </c>
      <c r="I55" s="4">
        <v>5</v>
      </c>
      <c r="J55" s="4">
        <v>1</v>
      </c>
      <c r="K55" s="5">
        <v>0.25</v>
      </c>
    </row>
    <row r="56" spans="1:14">
      <c r="A56" s="4" t="s">
        <v>48</v>
      </c>
      <c r="B56" s="16" t="s">
        <v>48</v>
      </c>
      <c r="C56" s="4" t="s">
        <v>48</v>
      </c>
      <c r="D56" s="4" t="s">
        <v>49</v>
      </c>
      <c r="E56" s="17" t="s">
        <v>86</v>
      </c>
      <c r="F56" s="4" t="s">
        <v>48</v>
      </c>
      <c r="G56" s="17" t="s">
        <v>48</v>
      </c>
      <c r="H56" s="16" t="s">
        <v>48</v>
      </c>
      <c r="I56" s="4">
        <v>5</v>
      </c>
      <c r="J56" s="4">
        <v>1</v>
      </c>
      <c r="K56" s="5">
        <v>0.5</v>
      </c>
    </row>
    <row r="57" spans="1:14" ht="24">
      <c r="A57" s="4" t="s">
        <v>48</v>
      </c>
      <c r="B57" s="16" t="s">
        <v>48</v>
      </c>
      <c r="C57" s="4" t="s">
        <v>48</v>
      </c>
      <c r="D57" s="4" t="s">
        <v>49</v>
      </c>
      <c r="E57" s="17" t="s">
        <v>87</v>
      </c>
      <c r="F57" s="4" t="s">
        <v>48</v>
      </c>
      <c r="G57" s="17" t="s">
        <v>88</v>
      </c>
      <c r="H57" s="16" t="s">
        <v>48</v>
      </c>
      <c r="I57" s="4">
        <v>2</v>
      </c>
      <c r="J57" s="4">
        <v>1</v>
      </c>
      <c r="K57" s="5">
        <v>0.25</v>
      </c>
    </row>
    <row r="58" spans="1:14">
      <c r="A58" s="4" t="s">
        <v>48</v>
      </c>
      <c r="B58" s="16" t="s">
        <v>48</v>
      </c>
      <c r="C58" s="4" t="s">
        <v>48</v>
      </c>
      <c r="D58" s="4" t="s">
        <v>49</v>
      </c>
      <c r="E58" s="17" t="s">
        <v>89</v>
      </c>
      <c r="F58" s="4" t="s">
        <v>48</v>
      </c>
      <c r="G58" s="17" t="s">
        <v>90</v>
      </c>
      <c r="H58" s="16" t="s">
        <v>48</v>
      </c>
      <c r="I58" s="4">
        <v>2</v>
      </c>
      <c r="J58" s="4">
        <v>1</v>
      </c>
      <c r="K58" s="5">
        <v>0.25</v>
      </c>
    </row>
    <row r="59" spans="1:14">
      <c r="A59" s="4" t="s">
        <v>91</v>
      </c>
      <c r="B59" s="16" t="s">
        <v>92</v>
      </c>
      <c r="C59" s="4" t="s">
        <v>47</v>
      </c>
      <c r="D59" s="16" t="s">
        <v>48</v>
      </c>
      <c r="E59" s="17" t="s">
        <v>48</v>
      </c>
      <c r="F59" s="16" t="s">
        <v>48</v>
      </c>
      <c r="G59" s="17" t="s">
        <v>48</v>
      </c>
      <c r="H59" s="16" t="s">
        <v>48</v>
      </c>
      <c r="I59" s="16" t="s">
        <v>48</v>
      </c>
      <c r="J59" s="16" t="s">
        <v>48</v>
      </c>
      <c r="K59" s="16" t="s">
        <v>48</v>
      </c>
    </row>
    <row r="60" spans="1:14" ht="24">
      <c r="A60" s="4" t="s">
        <v>48</v>
      </c>
      <c r="B60" s="16" t="s">
        <v>48</v>
      </c>
      <c r="C60" s="4" t="s">
        <v>48</v>
      </c>
      <c r="D60" s="4" t="s">
        <v>49</v>
      </c>
      <c r="E60" s="17" t="s">
        <v>93</v>
      </c>
      <c r="F60" s="4" t="s">
        <v>48</v>
      </c>
      <c r="G60" s="17" t="s">
        <v>94</v>
      </c>
      <c r="H60" s="16" t="s">
        <v>48</v>
      </c>
      <c r="I60" s="4">
        <v>5</v>
      </c>
      <c r="J60" s="4">
        <v>2</v>
      </c>
      <c r="K60" s="5">
        <v>0.75</v>
      </c>
    </row>
    <row r="61" spans="1:14">
      <c r="A61" s="4" t="s">
        <v>48</v>
      </c>
      <c r="B61" s="16" t="s">
        <v>48</v>
      </c>
      <c r="C61" s="4" t="s">
        <v>48</v>
      </c>
      <c r="D61" s="4" t="s">
        <v>49</v>
      </c>
      <c r="E61" s="17" t="s">
        <v>95</v>
      </c>
      <c r="F61" s="4" t="s">
        <v>48</v>
      </c>
      <c r="G61" s="17" t="s">
        <v>48</v>
      </c>
      <c r="H61" s="16" t="s">
        <v>48</v>
      </c>
      <c r="I61" s="4">
        <v>2</v>
      </c>
      <c r="J61" s="4">
        <v>1</v>
      </c>
      <c r="K61" s="5">
        <v>0.5</v>
      </c>
    </row>
    <row r="62" spans="1:14">
      <c r="A62" s="4" t="s">
        <v>48</v>
      </c>
      <c r="B62" s="16" t="s">
        <v>48</v>
      </c>
      <c r="C62" s="4" t="s">
        <v>48</v>
      </c>
      <c r="D62" s="4" t="s">
        <v>49</v>
      </c>
      <c r="E62" s="17" t="s">
        <v>96</v>
      </c>
      <c r="F62" s="4" t="s">
        <v>48</v>
      </c>
      <c r="G62" s="17" t="s">
        <v>48</v>
      </c>
      <c r="H62" s="16" t="s">
        <v>48</v>
      </c>
      <c r="I62" s="4">
        <v>5</v>
      </c>
      <c r="J62" s="4">
        <v>1</v>
      </c>
      <c r="K62" s="5">
        <v>0.25</v>
      </c>
    </row>
    <row r="63" spans="1:14">
      <c r="A63" s="4" t="s">
        <v>48</v>
      </c>
      <c r="B63" s="16" t="s">
        <v>48</v>
      </c>
      <c r="C63" s="4" t="s">
        <v>48</v>
      </c>
      <c r="D63" s="4" t="s">
        <v>60</v>
      </c>
      <c r="E63" s="17" t="s">
        <v>97</v>
      </c>
      <c r="F63" s="4" t="s">
        <v>48</v>
      </c>
      <c r="G63" s="17" t="s">
        <v>48</v>
      </c>
      <c r="H63" s="16" t="s">
        <v>48</v>
      </c>
      <c r="I63" s="4">
        <v>5</v>
      </c>
      <c r="J63" s="4"/>
      <c r="K63" s="5">
        <v>0.5</v>
      </c>
    </row>
    <row r="64" spans="1:14">
      <c r="A64" s="4" t="s">
        <v>48</v>
      </c>
      <c r="B64" s="16" t="s">
        <v>48</v>
      </c>
      <c r="C64" s="4" t="s">
        <v>48</v>
      </c>
      <c r="D64" s="4" t="s">
        <v>48</v>
      </c>
      <c r="E64" s="17" t="s">
        <v>48</v>
      </c>
      <c r="F64" s="4">
        <v>0</v>
      </c>
      <c r="G64" s="17" t="s">
        <v>98</v>
      </c>
      <c r="H64" s="16" t="s">
        <v>48</v>
      </c>
      <c r="I64" s="4"/>
      <c r="J64" s="4"/>
      <c r="K64" s="5"/>
    </row>
    <row r="65" spans="1:11" ht="36">
      <c r="A65" s="4" t="s">
        <v>48</v>
      </c>
      <c r="B65" s="16" t="s">
        <v>48</v>
      </c>
      <c r="C65" s="4" t="s">
        <v>48</v>
      </c>
      <c r="D65" s="4" t="s">
        <v>48</v>
      </c>
      <c r="E65" s="17" t="s">
        <v>48</v>
      </c>
      <c r="F65" s="4">
        <v>1</v>
      </c>
      <c r="G65" s="17" t="s">
        <v>99</v>
      </c>
      <c r="H65" s="16" t="s">
        <v>48</v>
      </c>
      <c r="I65" s="4"/>
      <c r="J65" s="4"/>
      <c r="K65" s="5"/>
    </row>
    <row r="66" spans="1:11" ht="36">
      <c r="A66" s="4" t="s">
        <v>48</v>
      </c>
      <c r="B66" s="16" t="s">
        <v>48</v>
      </c>
      <c r="C66" s="4" t="s">
        <v>48</v>
      </c>
      <c r="D66" s="4" t="s">
        <v>48</v>
      </c>
      <c r="E66" s="17" t="s">
        <v>48</v>
      </c>
      <c r="F66" s="4">
        <v>2</v>
      </c>
      <c r="G66" s="17" t="s">
        <v>100</v>
      </c>
      <c r="H66" s="16" t="s">
        <v>48</v>
      </c>
      <c r="I66" s="4"/>
      <c r="J66" s="4"/>
      <c r="K66" s="5"/>
    </row>
    <row r="67" spans="1:11" ht="60">
      <c r="A67" s="4" t="s">
        <v>48</v>
      </c>
      <c r="B67" s="16" t="s">
        <v>48</v>
      </c>
      <c r="C67" s="4" t="s">
        <v>48</v>
      </c>
      <c r="D67" s="4" t="s">
        <v>48</v>
      </c>
      <c r="E67" s="17" t="s">
        <v>48</v>
      </c>
      <c r="F67" s="4">
        <v>3</v>
      </c>
      <c r="G67" s="17" t="s">
        <v>101</v>
      </c>
      <c r="H67" s="16" t="s">
        <v>48</v>
      </c>
      <c r="I67" s="4"/>
      <c r="J67" s="4"/>
      <c r="K67" s="5"/>
    </row>
    <row r="68" spans="1:11">
      <c r="A68" s="4" t="s">
        <v>48</v>
      </c>
      <c r="B68" s="16" t="s">
        <v>48</v>
      </c>
      <c r="C68" s="4" t="s">
        <v>48</v>
      </c>
      <c r="D68" s="4" t="s">
        <v>60</v>
      </c>
      <c r="E68" s="17" t="s">
        <v>102</v>
      </c>
      <c r="F68" s="4" t="s">
        <v>48</v>
      </c>
      <c r="G68" s="17" t="s">
        <v>48</v>
      </c>
      <c r="H68" s="16" t="s">
        <v>48</v>
      </c>
      <c r="I68" s="4">
        <v>5</v>
      </c>
      <c r="J68" s="4"/>
      <c r="K68" s="5">
        <v>0.5</v>
      </c>
    </row>
    <row r="69" spans="1:11">
      <c r="A69" s="4" t="s">
        <v>48</v>
      </c>
      <c r="B69" s="16" t="s">
        <v>48</v>
      </c>
      <c r="C69" s="4" t="s">
        <v>48</v>
      </c>
      <c r="D69" s="4" t="s">
        <v>48</v>
      </c>
      <c r="E69" s="17" t="s">
        <v>48</v>
      </c>
      <c r="F69" s="4">
        <v>0</v>
      </c>
      <c r="G69" s="17" t="s">
        <v>103</v>
      </c>
      <c r="H69" s="16" t="s">
        <v>48</v>
      </c>
      <c r="I69" s="4"/>
      <c r="J69" s="4"/>
      <c r="K69" s="5"/>
    </row>
    <row r="70" spans="1:11">
      <c r="A70" s="4" t="s">
        <v>48</v>
      </c>
      <c r="B70" s="16" t="s">
        <v>48</v>
      </c>
      <c r="C70" s="4" t="s">
        <v>48</v>
      </c>
      <c r="D70" s="4" t="s">
        <v>48</v>
      </c>
      <c r="E70" s="17" t="s">
        <v>48</v>
      </c>
      <c r="F70" s="4">
        <v>1</v>
      </c>
      <c r="G70" s="17" t="s">
        <v>104</v>
      </c>
      <c r="H70" s="16" t="s">
        <v>48</v>
      </c>
      <c r="I70" s="4"/>
      <c r="J70" s="4"/>
      <c r="K70" s="5"/>
    </row>
    <row r="71" spans="1:11">
      <c r="A71" s="4" t="s">
        <v>48</v>
      </c>
      <c r="B71" s="16" t="s">
        <v>48</v>
      </c>
      <c r="C71" s="4" t="s">
        <v>48</v>
      </c>
      <c r="D71" s="4" t="s">
        <v>48</v>
      </c>
      <c r="E71" s="17" t="s">
        <v>48</v>
      </c>
      <c r="F71" s="4">
        <v>2</v>
      </c>
      <c r="G71" s="17" t="s">
        <v>105</v>
      </c>
      <c r="H71" s="16" t="s">
        <v>48</v>
      </c>
      <c r="I71" s="4"/>
      <c r="J71" s="4"/>
      <c r="K71" s="5"/>
    </row>
    <row r="72" spans="1:11">
      <c r="A72" s="4" t="s">
        <v>48</v>
      </c>
      <c r="B72" s="16" t="s">
        <v>48</v>
      </c>
      <c r="C72" s="4" t="s">
        <v>48</v>
      </c>
      <c r="D72" s="4" t="s">
        <v>48</v>
      </c>
      <c r="E72" s="17" t="s">
        <v>48</v>
      </c>
      <c r="F72" s="4">
        <v>3</v>
      </c>
      <c r="G72" s="17" t="s">
        <v>106</v>
      </c>
      <c r="H72" s="16" t="s">
        <v>48</v>
      </c>
      <c r="I72" s="4"/>
      <c r="J72" s="4"/>
      <c r="K72" s="5"/>
    </row>
    <row r="73" spans="1:11">
      <c r="A73" s="4" t="s">
        <v>107</v>
      </c>
      <c r="B73" s="16" t="s">
        <v>108</v>
      </c>
      <c r="C73" s="4" t="s">
        <v>47</v>
      </c>
      <c r="D73" s="16" t="s">
        <v>48</v>
      </c>
      <c r="E73" s="17" t="s">
        <v>48</v>
      </c>
      <c r="F73" s="16" t="s">
        <v>48</v>
      </c>
      <c r="G73" s="17" t="s">
        <v>48</v>
      </c>
      <c r="H73" s="16" t="s">
        <v>48</v>
      </c>
      <c r="I73" s="16" t="s">
        <v>48</v>
      </c>
      <c r="J73" s="16" t="s">
        <v>48</v>
      </c>
      <c r="K73" s="16" t="s">
        <v>48</v>
      </c>
    </row>
    <row r="74" spans="1:11" ht="24">
      <c r="A74" s="4" t="s">
        <v>48</v>
      </c>
      <c r="B74" s="16" t="s">
        <v>48</v>
      </c>
      <c r="C74" s="4" t="s">
        <v>48</v>
      </c>
      <c r="D74" s="4" t="s">
        <v>49</v>
      </c>
      <c r="E74" s="17" t="s">
        <v>109</v>
      </c>
      <c r="F74" s="4" t="s">
        <v>48</v>
      </c>
      <c r="G74" s="17" t="s">
        <v>110</v>
      </c>
      <c r="H74" s="16" t="s">
        <v>48</v>
      </c>
      <c r="I74" s="4">
        <v>5</v>
      </c>
      <c r="J74" s="4">
        <v>2</v>
      </c>
      <c r="K74" s="5">
        <v>0.5</v>
      </c>
    </row>
    <row r="75" spans="1:11">
      <c r="A75" s="4" t="s">
        <v>48</v>
      </c>
      <c r="B75" s="16" t="s">
        <v>48</v>
      </c>
      <c r="C75" s="4" t="s">
        <v>48</v>
      </c>
      <c r="D75" s="4" t="s">
        <v>49</v>
      </c>
      <c r="E75" s="17" t="s">
        <v>111</v>
      </c>
      <c r="F75" s="4" t="s">
        <v>48</v>
      </c>
      <c r="G75" s="17" t="s">
        <v>48</v>
      </c>
      <c r="H75" s="16" t="s">
        <v>48</v>
      </c>
      <c r="I75" s="4">
        <v>5</v>
      </c>
      <c r="J75" s="4">
        <v>1</v>
      </c>
      <c r="K75" s="5">
        <v>0.25</v>
      </c>
    </row>
    <row r="76" spans="1:11" ht="24">
      <c r="A76" s="4" t="s">
        <v>48</v>
      </c>
      <c r="B76" s="16" t="s">
        <v>48</v>
      </c>
      <c r="C76" s="4" t="s">
        <v>48</v>
      </c>
      <c r="D76" s="4" t="s">
        <v>49</v>
      </c>
      <c r="E76" s="17" t="s">
        <v>112</v>
      </c>
      <c r="F76" s="4" t="s">
        <v>48</v>
      </c>
      <c r="G76" s="17" t="s">
        <v>48</v>
      </c>
      <c r="H76" s="16" t="s">
        <v>48</v>
      </c>
      <c r="I76" s="4">
        <v>5</v>
      </c>
      <c r="J76" s="4">
        <v>1</v>
      </c>
      <c r="K76" s="5">
        <v>0.5</v>
      </c>
    </row>
    <row r="77" spans="1:11">
      <c r="A77" s="4" t="s">
        <v>48</v>
      </c>
      <c r="B77" s="16" t="s">
        <v>48</v>
      </c>
      <c r="C77" s="4" t="s">
        <v>48</v>
      </c>
      <c r="D77" s="4" t="s">
        <v>49</v>
      </c>
      <c r="E77" s="17" t="s">
        <v>113</v>
      </c>
      <c r="F77" s="4" t="s">
        <v>48</v>
      </c>
      <c r="G77" s="17" t="s">
        <v>48</v>
      </c>
      <c r="H77" s="16" t="s">
        <v>48</v>
      </c>
      <c r="I77" s="4">
        <v>5</v>
      </c>
      <c r="J77" s="4">
        <v>1</v>
      </c>
      <c r="K77" s="5">
        <v>0.5</v>
      </c>
    </row>
    <row r="78" spans="1:11">
      <c r="A78" s="4" t="s">
        <v>48</v>
      </c>
      <c r="B78" s="16" t="s">
        <v>48</v>
      </c>
      <c r="C78" s="4" t="s">
        <v>48</v>
      </c>
      <c r="D78" s="4" t="s">
        <v>49</v>
      </c>
      <c r="E78" s="17" t="s">
        <v>114</v>
      </c>
      <c r="F78" s="4" t="s">
        <v>48</v>
      </c>
      <c r="G78" s="17" t="s">
        <v>48</v>
      </c>
      <c r="H78" s="16" t="s">
        <v>48</v>
      </c>
      <c r="I78" s="4">
        <v>5</v>
      </c>
      <c r="J78" s="4">
        <v>1</v>
      </c>
      <c r="K78" s="5">
        <v>0.5</v>
      </c>
    </row>
    <row r="79" spans="1:11">
      <c r="A79" s="4" t="s">
        <v>48</v>
      </c>
      <c r="B79" s="16" t="s">
        <v>48</v>
      </c>
      <c r="C79" s="4" t="s">
        <v>48</v>
      </c>
      <c r="D79" s="4" t="s">
        <v>49</v>
      </c>
      <c r="E79" s="17" t="s">
        <v>115</v>
      </c>
      <c r="F79" s="4" t="s">
        <v>48</v>
      </c>
      <c r="G79" s="17" t="s">
        <v>48</v>
      </c>
      <c r="H79" s="16" t="s">
        <v>48</v>
      </c>
      <c r="I79" s="4">
        <v>5</v>
      </c>
      <c r="J79" s="4">
        <v>1</v>
      </c>
      <c r="K79" s="5">
        <v>0.5</v>
      </c>
    </row>
    <row r="80" spans="1:11">
      <c r="A80" s="4" t="s">
        <v>48</v>
      </c>
      <c r="B80" s="16" t="s">
        <v>48</v>
      </c>
      <c r="C80" s="4" t="s">
        <v>48</v>
      </c>
      <c r="D80" s="4" t="s">
        <v>49</v>
      </c>
      <c r="E80" s="17" t="s">
        <v>116</v>
      </c>
      <c r="F80" s="4" t="s">
        <v>48</v>
      </c>
      <c r="G80" s="17" t="s">
        <v>117</v>
      </c>
      <c r="H80" s="16" t="s">
        <v>48</v>
      </c>
      <c r="I80" s="4">
        <v>5</v>
      </c>
      <c r="J80" s="4">
        <v>2</v>
      </c>
      <c r="K80" s="5">
        <v>0.5</v>
      </c>
    </row>
    <row r="81" spans="1:11" ht="24">
      <c r="A81" s="4" t="s">
        <v>48</v>
      </c>
      <c r="B81" s="16" t="s">
        <v>48</v>
      </c>
      <c r="C81" s="4" t="s">
        <v>48</v>
      </c>
      <c r="D81" s="4" t="s">
        <v>49</v>
      </c>
      <c r="E81" s="17" t="s">
        <v>118</v>
      </c>
      <c r="F81" s="4" t="s">
        <v>48</v>
      </c>
      <c r="G81" s="17" t="s">
        <v>48</v>
      </c>
      <c r="H81" s="16" t="s">
        <v>48</v>
      </c>
      <c r="I81" s="4">
        <v>5</v>
      </c>
      <c r="J81" s="4">
        <v>1</v>
      </c>
      <c r="K81" s="5">
        <v>0.5</v>
      </c>
    </row>
    <row r="82" spans="1:11">
      <c r="A82" s="4" t="s">
        <v>48</v>
      </c>
      <c r="B82" s="16" t="s">
        <v>48</v>
      </c>
      <c r="C82" s="4" t="s">
        <v>48</v>
      </c>
      <c r="D82" s="4" t="s">
        <v>49</v>
      </c>
      <c r="E82" s="17" t="s">
        <v>119</v>
      </c>
      <c r="F82" s="4" t="s">
        <v>48</v>
      </c>
      <c r="G82" s="17" t="s">
        <v>48</v>
      </c>
      <c r="H82" s="16" t="s">
        <v>48</v>
      </c>
      <c r="I82" s="4">
        <v>5</v>
      </c>
      <c r="J82" s="4">
        <v>1</v>
      </c>
      <c r="K82" s="5">
        <v>0.25</v>
      </c>
    </row>
    <row r="83" spans="1:11" ht="24">
      <c r="A83" s="4" t="s">
        <v>48</v>
      </c>
      <c r="B83" s="16" t="s">
        <v>48</v>
      </c>
      <c r="C83" s="4" t="s">
        <v>48</v>
      </c>
      <c r="D83" s="4" t="s">
        <v>49</v>
      </c>
      <c r="E83" s="17" t="s">
        <v>120</v>
      </c>
      <c r="F83" s="4" t="s">
        <v>48</v>
      </c>
      <c r="G83" s="17" t="s">
        <v>121</v>
      </c>
      <c r="H83" s="16" t="s">
        <v>48</v>
      </c>
      <c r="I83" s="4">
        <v>5</v>
      </c>
      <c r="J83" s="4">
        <v>1</v>
      </c>
      <c r="K83" s="5">
        <v>0.25</v>
      </c>
    </row>
    <row r="84" spans="1:11">
      <c r="A84" s="4" t="s">
        <v>122</v>
      </c>
      <c r="B84" s="16" t="s">
        <v>123</v>
      </c>
      <c r="C84" s="4" t="s">
        <v>47</v>
      </c>
      <c r="D84" s="16" t="s">
        <v>48</v>
      </c>
      <c r="E84" s="17" t="s">
        <v>48</v>
      </c>
      <c r="F84" s="16" t="s">
        <v>48</v>
      </c>
      <c r="G84" s="17" t="s">
        <v>48</v>
      </c>
      <c r="H84" s="16" t="s">
        <v>48</v>
      </c>
      <c r="I84" s="16" t="s">
        <v>48</v>
      </c>
      <c r="J84" s="16" t="s">
        <v>48</v>
      </c>
      <c r="K84" s="16" t="s">
        <v>48</v>
      </c>
    </row>
    <row r="85" spans="1:11">
      <c r="A85" s="4" t="s">
        <v>48</v>
      </c>
      <c r="B85" s="16" t="s">
        <v>48</v>
      </c>
      <c r="C85" s="4" t="s">
        <v>48</v>
      </c>
      <c r="D85" s="4" t="s">
        <v>49</v>
      </c>
      <c r="E85" s="17" t="s">
        <v>124</v>
      </c>
      <c r="F85" s="4" t="s">
        <v>48</v>
      </c>
      <c r="G85" s="17" t="s">
        <v>125</v>
      </c>
      <c r="H85" s="16" t="s">
        <v>48</v>
      </c>
      <c r="I85" s="4">
        <v>5</v>
      </c>
      <c r="J85" s="4">
        <v>1</v>
      </c>
      <c r="K85" s="5">
        <v>0.25</v>
      </c>
    </row>
    <row r="86" spans="1:11">
      <c r="A86" s="4" t="s">
        <v>48</v>
      </c>
      <c r="B86" s="16" t="s">
        <v>48</v>
      </c>
      <c r="C86" s="4" t="s">
        <v>48</v>
      </c>
      <c r="D86" s="4" t="s">
        <v>49</v>
      </c>
      <c r="E86" s="17" t="s">
        <v>126</v>
      </c>
      <c r="F86" s="4" t="s">
        <v>48</v>
      </c>
      <c r="G86" s="17" t="s">
        <v>48</v>
      </c>
      <c r="H86" s="16" t="s">
        <v>48</v>
      </c>
      <c r="I86" s="4">
        <v>5</v>
      </c>
      <c r="J86" s="4">
        <v>1</v>
      </c>
      <c r="K86" s="5">
        <v>0.5</v>
      </c>
    </row>
    <row r="87" spans="1:11" ht="24">
      <c r="A87" s="4" t="s">
        <v>48</v>
      </c>
      <c r="B87" s="16" t="s">
        <v>48</v>
      </c>
      <c r="C87" s="4" t="s">
        <v>48</v>
      </c>
      <c r="D87" s="4" t="s">
        <v>49</v>
      </c>
      <c r="E87" s="17" t="s">
        <v>127</v>
      </c>
      <c r="F87" s="4" t="s">
        <v>48</v>
      </c>
      <c r="G87" s="17" t="s">
        <v>128</v>
      </c>
      <c r="H87" s="16" t="s">
        <v>48</v>
      </c>
      <c r="I87" s="4">
        <v>5</v>
      </c>
      <c r="J87" s="4">
        <v>2</v>
      </c>
      <c r="K87" s="5">
        <v>0.5</v>
      </c>
    </row>
    <row r="88" spans="1:11">
      <c r="A88" s="4" t="s">
        <v>48</v>
      </c>
      <c r="B88" s="16" t="s">
        <v>48</v>
      </c>
      <c r="C88" s="4" t="s">
        <v>48</v>
      </c>
      <c r="D88" s="4" t="s">
        <v>49</v>
      </c>
      <c r="E88" s="17" t="s">
        <v>129</v>
      </c>
      <c r="F88" s="4" t="s">
        <v>48</v>
      </c>
      <c r="G88" s="17" t="s">
        <v>48</v>
      </c>
      <c r="H88" s="16" t="s">
        <v>48</v>
      </c>
      <c r="I88" s="4">
        <v>5</v>
      </c>
      <c r="J88" s="4">
        <v>1</v>
      </c>
      <c r="K88" s="5">
        <v>0.5</v>
      </c>
    </row>
    <row r="89" spans="1:11" ht="36">
      <c r="A89" s="4" t="s">
        <v>48</v>
      </c>
      <c r="B89" s="16" t="s">
        <v>48</v>
      </c>
      <c r="C89" s="4" t="s">
        <v>48</v>
      </c>
      <c r="D89" s="4" t="s">
        <v>49</v>
      </c>
      <c r="E89" s="17" t="s">
        <v>130</v>
      </c>
      <c r="F89" s="4" t="s">
        <v>48</v>
      </c>
      <c r="G89" s="17" t="s">
        <v>131</v>
      </c>
      <c r="H89" s="16" t="s">
        <v>48</v>
      </c>
      <c r="I89" s="4">
        <v>5</v>
      </c>
      <c r="J89" s="4">
        <v>3</v>
      </c>
      <c r="K89" s="5">
        <v>0.75</v>
      </c>
    </row>
    <row r="90" spans="1:11">
      <c r="A90" s="4" t="s">
        <v>48</v>
      </c>
      <c r="B90" s="16" t="s">
        <v>48</v>
      </c>
      <c r="C90" s="4" t="s">
        <v>48</v>
      </c>
      <c r="D90" s="4" t="s">
        <v>49</v>
      </c>
      <c r="E90" s="17" t="s">
        <v>132</v>
      </c>
      <c r="F90" s="4" t="s">
        <v>48</v>
      </c>
      <c r="G90" s="17" t="s">
        <v>48</v>
      </c>
      <c r="H90" s="16" t="s">
        <v>48</v>
      </c>
      <c r="I90" s="4">
        <v>5</v>
      </c>
      <c r="J90" s="4">
        <v>1</v>
      </c>
      <c r="K90" s="5">
        <v>0.25</v>
      </c>
    </row>
    <row r="91" spans="1:11">
      <c r="A91" s="4" t="s">
        <v>48</v>
      </c>
      <c r="B91" s="16" t="s">
        <v>48</v>
      </c>
      <c r="C91" s="4" t="s">
        <v>48</v>
      </c>
      <c r="D91" s="4" t="s">
        <v>49</v>
      </c>
      <c r="E91" s="17" t="s">
        <v>133</v>
      </c>
      <c r="F91" s="4" t="s">
        <v>48</v>
      </c>
      <c r="G91" s="17" t="s">
        <v>48</v>
      </c>
      <c r="H91" s="16" t="s">
        <v>48</v>
      </c>
      <c r="I91" s="4">
        <v>5</v>
      </c>
      <c r="J91" s="4">
        <v>1</v>
      </c>
      <c r="K91" s="5">
        <v>0.5</v>
      </c>
    </row>
    <row r="92" spans="1:11" ht="24">
      <c r="A92" s="4" t="s">
        <v>48</v>
      </c>
      <c r="B92" s="16" t="s">
        <v>48</v>
      </c>
      <c r="C92" s="4" t="s">
        <v>48</v>
      </c>
      <c r="D92" s="4" t="s">
        <v>49</v>
      </c>
      <c r="E92" s="17" t="s">
        <v>134</v>
      </c>
      <c r="F92" s="4" t="s">
        <v>48</v>
      </c>
      <c r="G92" s="17" t="s">
        <v>48</v>
      </c>
      <c r="H92" s="16" t="s">
        <v>48</v>
      </c>
      <c r="I92" s="4">
        <v>5</v>
      </c>
      <c r="J92" s="4">
        <v>1</v>
      </c>
      <c r="K92" s="5">
        <v>0.25</v>
      </c>
    </row>
    <row r="93" spans="1:11">
      <c r="A93" s="4" t="s">
        <v>48</v>
      </c>
      <c r="B93" s="16" t="s">
        <v>48</v>
      </c>
      <c r="C93" s="4" t="s">
        <v>48</v>
      </c>
      <c r="D93" s="4" t="s">
        <v>49</v>
      </c>
      <c r="E93" s="17" t="s">
        <v>135</v>
      </c>
      <c r="F93" s="4" t="s">
        <v>48</v>
      </c>
      <c r="G93" s="17" t="s">
        <v>48</v>
      </c>
      <c r="H93" s="16" t="s">
        <v>48</v>
      </c>
      <c r="I93" s="4">
        <v>5</v>
      </c>
      <c r="J93" s="4">
        <v>1</v>
      </c>
      <c r="K93" s="5">
        <v>0.5</v>
      </c>
    </row>
    <row r="94" spans="1:11">
      <c r="A94" s="4" t="s">
        <v>48</v>
      </c>
      <c r="B94" s="16" t="s">
        <v>48</v>
      </c>
      <c r="C94" s="4" t="s">
        <v>48</v>
      </c>
      <c r="D94" s="4" t="s">
        <v>49</v>
      </c>
      <c r="E94" s="17" t="s">
        <v>136</v>
      </c>
      <c r="F94" s="4" t="s">
        <v>48</v>
      </c>
      <c r="G94" s="17" t="s">
        <v>137</v>
      </c>
      <c r="H94" s="16" t="s">
        <v>48</v>
      </c>
      <c r="I94" s="4">
        <v>5</v>
      </c>
      <c r="J94" s="4">
        <v>1</v>
      </c>
      <c r="K94" s="5">
        <v>0.5</v>
      </c>
    </row>
    <row r="95" spans="1:11">
      <c r="A95" s="4" t="s">
        <v>48</v>
      </c>
      <c r="B95" s="16" t="s">
        <v>48</v>
      </c>
      <c r="C95" s="4" t="s">
        <v>48</v>
      </c>
      <c r="D95" s="4" t="s">
        <v>49</v>
      </c>
      <c r="E95" s="17" t="s">
        <v>138</v>
      </c>
      <c r="F95" s="4" t="s">
        <v>48</v>
      </c>
      <c r="G95" s="17" t="s">
        <v>139</v>
      </c>
      <c r="H95" s="16" t="s">
        <v>48</v>
      </c>
      <c r="I95" s="4">
        <v>5</v>
      </c>
      <c r="J95" s="4">
        <v>1</v>
      </c>
      <c r="K95" s="5">
        <v>0.5</v>
      </c>
    </row>
    <row r="96" spans="1:11">
      <c r="A96" s="4" t="s">
        <v>48</v>
      </c>
      <c r="B96" s="16" t="s">
        <v>48</v>
      </c>
      <c r="C96" s="4" t="s">
        <v>48</v>
      </c>
      <c r="D96" s="4" t="s">
        <v>49</v>
      </c>
      <c r="E96" s="17" t="s">
        <v>140</v>
      </c>
      <c r="F96" s="4" t="s">
        <v>48</v>
      </c>
      <c r="G96" s="17" t="s">
        <v>48</v>
      </c>
      <c r="H96" s="16" t="s">
        <v>48</v>
      </c>
      <c r="I96" s="4">
        <v>5</v>
      </c>
      <c r="J96" s="4">
        <v>1</v>
      </c>
      <c r="K96" s="5">
        <v>1</v>
      </c>
    </row>
    <row r="97" spans="1:11">
      <c r="A97" s="4" t="s">
        <v>48</v>
      </c>
      <c r="B97" s="16" t="s">
        <v>48</v>
      </c>
      <c r="C97" s="4" t="s">
        <v>48</v>
      </c>
      <c r="D97" s="4" t="s">
        <v>49</v>
      </c>
      <c r="E97" s="17" t="s">
        <v>141</v>
      </c>
      <c r="F97" s="4" t="s">
        <v>48</v>
      </c>
      <c r="G97" s="17" t="s">
        <v>48</v>
      </c>
      <c r="H97" s="16" t="s">
        <v>48</v>
      </c>
      <c r="I97" s="4">
        <v>5</v>
      </c>
      <c r="J97" s="4">
        <v>1</v>
      </c>
      <c r="K97" s="5">
        <v>1</v>
      </c>
    </row>
    <row r="98" spans="1:11">
      <c r="A98" s="4" t="s">
        <v>48</v>
      </c>
      <c r="B98" s="16" t="s">
        <v>48</v>
      </c>
      <c r="C98" s="4" t="s">
        <v>48</v>
      </c>
      <c r="D98" s="4" t="s">
        <v>49</v>
      </c>
      <c r="E98" s="17" t="s">
        <v>142</v>
      </c>
      <c r="F98" s="4" t="s">
        <v>48</v>
      </c>
      <c r="G98" s="17" t="s">
        <v>48</v>
      </c>
      <c r="H98" s="16" t="s">
        <v>48</v>
      </c>
      <c r="I98" s="4">
        <v>5</v>
      </c>
      <c r="J98" s="4">
        <v>1</v>
      </c>
      <c r="K98" s="5">
        <v>0.5</v>
      </c>
    </row>
    <row r="99" spans="1:11">
      <c r="A99" s="4" t="s">
        <v>48</v>
      </c>
      <c r="B99" s="16" t="s">
        <v>48</v>
      </c>
      <c r="C99" s="4" t="s">
        <v>48</v>
      </c>
      <c r="D99" s="4" t="s">
        <v>49</v>
      </c>
      <c r="E99" s="17" t="s">
        <v>143</v>
      </c>
      <c r="F99" s="4" t="s">
        <v>48</v>
      </c>
      <c r="G99" s="17" t="s">
        <v>48</v>
      </c>
      <c r="H99" s="16" t="s">
        <v>48</v>
      </c>
      <c r="I99" s="4">
        <v>5</v>
      </c>
      <c r="J99" s="4">
        <v>1</v>
      </c>
      <c r="K99" s="5">
        <v>0.25</v>
      </c>
    </row>
    <row r="100" spans="1:11">
      <c r="A100" s="4" t="s">
        <v>144</v>
      </c>
      <c r="B100" s="16" t="s">
        <v>145</v>
      </c>
      <c r="C100" s="4" t="s">
        <v>47</v>
      </c>
      <c r="D100" s="16" t="s">
        <v>48</v>
      </c>
      <c r="E100" s="17" t="s">
        <v>48</v>
      </c>
      <c r="F100" s="16" t="s">
        <v>48</v>
      </c>
      <c r="G100" s="17" t="s">
        <v>48</v>
      </c>
      <c r="H100" s="16" t="s">
        <v>48</v>
      </c>
      <c r="I100" s="16" t="s">
        <v>48</v>
      </c>
      <c r="J100" s="16" t="s">
        <v>48</v>
      </c>
      <c r="K100" s="16" t="s">
        <v>48</v>
      </c>
    </row>
    <row r="101" spans="1:11">
      <c r="A101" s="4" t="s">
        <v>48</v>
      </c>
      <c r="B101" s="16" t="s">
        <v>48</v>
      </c>
      <c r="C101" s="4" t="s">
        <v>48</v>
      </c>
      <c r="D101" s="4" t="s">
        <v>49</v>
      </c>
      <c r="E101" s="17" t="s">
        <v>146</v>
      </c>
      <c r="F101" s="4" t="s">
        <v>48</v>
      </c>
      <c r="G101" s="17" t="s">
        <v>147</v>
      </c>
      <c r="H101" s="16" t="s">
        <v>48</v>
      </c>
      <c r="I101" s="4">
        <v>5</v>
      </c>
      <c r="J101" s="4">
        <v>1</v>
      </c>
      <c r="K101" s="5">
        <v>0.25</v>
      </c>
    </row>
    <row r="102" spans="1:11" ht="24">
      <c r="A102" s="4" t="s">
        <v>48</v>
      </c>
      <c r="B102" s="16" t="s">
        <v>48</v>
      </c>
      <c r="C102" s="4" t="s">
        <v>48</v>
      </c>
      <c r="D102" s="4" t="s">
        <v>49</v>
      </c>
      <c r="E102" s="17" t="s">
        <v>148</v>
      </c>
      <c r="F102" s="4" t="s">
        <v>48</v>
      </c>
      <c r="G102" s="17" t="s">
        <v>149</v>
      </c>
      <c r="H102" s="16" t="s">
        <v>48</v>
      </c>
      <c r="I102" s="4">
        <v>5</v>
      </c>
      <c r="J102" s="4">
        <v>2</v>
      </c>
      <c r="K102" s="5">
        <v>1</v>
      </c>
    </row>
    <row r="103" spans="1:11" ht="24">
      <c r="A103" s="4" t="s">
        <v>48</v>
      </c>
      <c r="B103" s="16" t="s">
        <v>48</v>
      </c>
      <c r="C103" s="4" t="s">
        <v>48</v>
      </c>
      <c r="D103" s="4" t="s">
        <v>49</v>
      </c>
      <c r="E103" s="17" t="s">
        <v>150</v>
      </c>
      <c r="F103" s="4" t="s">
        <v>48</v>
      </c>
      <c r="G103" s="17" t="s">
        <v>151</v>
      </c>
      <c r="H103" s="16" t="s">
        <v>48</v>
      </c>
      <c r="I103" s="4">
        <v>5</v>
      </c>
      <c r="J103" s="4">
        <v>2</v>
      </c>
      <c r="K103" s="5">
        <v>0.5</v>
      </c>
    </row>
    <row r="104" spans="1:11">
      <c r="A104" s="4" t="s">
        <v>48</v>
      </c>
      <c r="B104" s="16" t="s">
        <v>48</v>
      </c>
      <c r="C104" s="4" t="s">
        <v>48</v>
      </c>
      <c r="D104" s="4" t="s">
        <v>49</v>
      </c>
      <c r="E104" s="17" t="s">
        <v>152</v>
      </c>
      <c r="F104" s="4" t="s">
        <v>48</v>
      </c>
      <c r="G104" s="17" t="s">
        <v>153</v>
      </c>
      <c r="H104" s="16" t="s">
        <v>48</v>
      </c>
      <c r="I104" s="4">
        <v>5</v>
      </c>
      <c r="J104" s="4">
        <v>1</v>
      </c>
      <c r="K104" s="5">
        <v>0.25</v>
      </c>
    </row>
    <row r="105" spans="1:11">
      <c r="A105" s="4" t="s">
        <v>48</v>
      </c>
      <c r="B105" s="16" t="s">
        <v>48</v>
      </c>
      <c r="C105" s="4" t="s">
        <v>48</v>
      </c>
      <c r="D105" s="4" t="s">
        <v>49</v>
      </c>
      <c r="E105" s="17" t="s">
        <v>154</v>
      </c>
      <c r="F105" s="4" t="s">
        <v>48</v>
      </c>
      <c r="G105" s="17" t="s">
        <v>155</v>
      </c>
      <c r="H105" s="16" t="s">
        <v>48</v>
      </c>
      <c r="I105" s="4">
        <v>5</v>
      </c>
      <c r="J105" s="4">
        <v>2</v>
      </c>
      <c r="K105" s="5">
        <v>0.75</v>
      </c>
    </row>
    <row r="106" spans="1:11" ht="24">
      <c r="A106" s="4" t="s">
        <v>48</v>
      </c>
      <c r="B106" s="16" t="s">
        <v>48</v>
      </c>
      <c r="C106" s="4" t="s">
        <v>48</v>
      </c>
      <c r="D106" s="4" t="s">
        <v>49</v>
      </c>
      <c r="E106" s="17" t="s">
        <v>156</v>
      </c>
      <c r="F106" s="4" t="s">
        <v>48</v>
      </c>
      <c r="G106" s="17" t="s">
        <v>157</v>
      </c>
      <c r="H106" s="16" t="s">
        <v>48</v>
      </c>
      <c r="I106" s="4">
        <v>5</v>
      </c>
      <c r="J106" s="4">
        <v>1</v>
      </c>
      <c r="K106" s="5">
        <v>0.5</v>
      </c>
    </row>
    <row r="107" spans="1:11" ht="24">
      <c r="A107" s="4" t="s">
        <v>48</v>
      </c>
      <c r="B107" s="16" t="s">
        <v>48</v>
      </c>
      <c r="C107" s="4" t="s">
        <v>48</v>
      </c>
      <c r="D107" s="4" t="s">
        <v>49</v>
      </c>
      <c r="E107" s="17" t="s">
        <v>158</v>
      </c>
      <c r="F107" s="4" t="s">
        <v>48</v>
      </c>
      <c r="G107" s="17" t="s">
        <v>159</v>
      </c>
      <c r="H107" s="16" t="s">
        <v>48</v>
      </c>
      <c r="I107" s="4">
        <v>5</v>
      </c>
      <c r="J107" s="4">
        <v>1</v>
      </c>
      <c r="K107" s="5">
        <v>0.5</v>
      </c>
    </row>
    <row r="108" spans="1:11" ht="36">
      <c r="A108" s="4" t="s">
        <v>48</v>
      </c>
      <c r="B108" s="16" t="s">
        <v>48</v>
      </c>
      <c r="C108" s="4" t="s">
        <v>48</v>
      </c>
      <c r="D108" s="4" t="s">
        <v>49</v>
      </c>
      <c r="E108" s="17" t="s">
        <v>160</v>
      </c>
      <c r="F108" s="4" t="s">
        <v>48</v>
      </c>
      <c r="G108" s="17" t="s">
        <v>161</v>
      </c>
      <c r="H108" s="16" t="s">
        <v>48</v>
      </c>
      <c r="I108" s="4">
        <v>5</v>
      </c>
      <c r="J108" s="4">
        <v>2</v>
      </c>
      <c r="K108" s="5">
        <v>0.75</v>
      </c>
    </row>
    <row r="109" spans="1:11">
      <c r="A109" s="4" t="s">
        <v>162</v>
      </c>
      <c r="B109" s="16" t="s">
        <v>163</v>
      </c>
      <c r="C109" s="4" t="s">
        <v>47</v>
      </c>
      <c r="D109" s="16" t="s">
        <v>48</v>
      </c>
      <c r="E109" s="17" t="s">
        <v>48</v>
      </c>
      <c r="F109" s="16" t="s">
        <v>48</v>
      </c>
      <c r="G109" s="17" t="s">
        <v>48</v>
      </c>
      <c r="H109" s="16" t="s">
        <v>48</v>
      </c>
      <c r="I109" s="16" t="s">
        <v>48</v>
      </c>
      <c r="J109" s="16" t="s">
        <v>48</v>
      </c>
      <c r="K109" s="16" t="s">
        <v>48</v>
      </c>
    </row>
    <row r="110" spans="1:11" ht="24">
      <c r="A110" s="4" t="s">
        <v>48</v>
      </c>
      <c r="B110" s="16" t="s">
        <v>48</v>
      </c>
      <c r="C110" s="4" t="s">
        <v>48</v>
      </c>
      <c r="D110" s="4" t="s">
        <v>49</v>
      </c>
      <c r="E110" s="17" t="s">
        <v>164</v>
      </c>
      <c r="F110" s="4" t="s">
        <v>48</v>
      </c>
      <c r="G110" s="17" t="s">
        <v>165</v>
      </c>
      <c r="H110" s="16" t="s">
        <v>48</v>
      </c>
      <c r="I110" s="4">
        <v>5</v>
      </c>
      <c r="J110" s="4">
        <v>2</v>
      </c>
      <c r="K110" s="5">
        <v>0.5</v>
      </c>
    </row>
    <row r="111" spans="1:11">
      <c r="A111" s="4" t="s">
        <v>48</v>
      </c>
      <c r="B111" s="16" t="s">
        <v>48</v>
      </c>
      <c r="C111" s="4" t="s">
        <v>48</v>
      </c>
      <c r="D111" s="4" t="s">
        <v>49</v>
      </c>
      <c r="E111" s="17" t="s">
        <v>166</v>
      </c>
      <c r="F111" s="4" t="s">
        <v>48</v>
      </c>
      <c r="G111" s="17" t="s">
        <v>48</v>
      </c>
      <c r="H111" s="16" t="s">
        <v>48</v>
      </c>
      <c r="I111" s="4">
        <v>5</v>
      </c>
      <c r="J111" s="4">
        <v>1</v>
      </c>
      <c r="K111" s="5">
        <v>0.25</v>
      </c>
    </row>
    <row r="112" spans="1:11">
      <c r="A112" s="4" t="s">
        <v>48</v>
      </c>
      <c r="B112" s="16" t="s">
        <v>48</v>
      </c>
      <c r="C112" s="4" t="s">
        <v>48</v>
      </c>
      <c r="D112" s="4" t="s">
        <v>49</v>
      </c>
      <c r="E112" s="17" t="s">
        <v>167</v>
      </c>
      <c r="F112" s="4" t="s">
        <v>48</v>
      </c>
      <c r="G112" s="17" t="s">
        <v>155</v>
      </c>
      <c r="H112" s="16" t="s">
        <v>48</v>
      </c>
      <c r="I112" s="4">
        <v>5</v>
      </c>
      <c r="J112" s="4">
        <v>2</v>
      </c>
      <c r="K112" s="5">
        <v>0.5</v>
      </c>
    </row>
    <row r="113" spans="1:14" ht="24">
      <c r="A113" s="4" t="s">
        <v>48</v>
      </c>
      <c r="B113" s="16" t="s">
        <v>48</v>
      </c>
      <c r="C113" s="4" t="s">
        <v>48</v>
      </c>
      <c r="D113" s="4" t="s">
        <v>49</v>
      </c>
      <c r="E113" s="17" t="s">
        <v>168</v>
      </c>
      <c r="F113" s="4" t="s">
        <v>48</v>
      </c>
      <c r="G113" s="17" t="s">
        <v>48</v>
      </c>
      <c r="H113" s="16" t="s">
        <v>48</v>
      </c>
      <c r="I113" s="4">
        <v>5</v>
      </c>
      <c r="J113" s="4">
        <v>1</v>
      </c>
      <c r="K113" s="5">
        <v>0.5</v>
      </c>
    </row>
    <row r="114" spans="1:14">
      <c r="A114" s="4" t="s">
        <v>169</v>
      </c>
      <c r="B114" s="16" t="s">
        <v>170</v>
      </c>
      <c r="C114" s="4" t="s">
        <v>47</v>
      </c>
      <c r="D114" s="16" t="s">
        <v>48</v>
      </c>
      <c r="E114" s="17" t="s">
        <v>48</v>
      </c>
      <c r="F114" s="16" t="s">
        <v>48</v>
      </c>
      <c r="G114" s="17" t="s">
        <v>48</v>
      </c>
      <c r="H114" s="16" t="s">
        <v>48</v>
      </c>
      <c r="I114" s="16" t="s">
        <v>48</v>
      </c>
      <c r="J114" s="16" t="s">
        <v>48</v>
      </c>
      <c r="K114" s="16" t="s">
        <v>48</v>
      </c>
    </row>
    <row r="115" spans="1:14" ht="24">
      <c r="A115" s="4" t="s">
        <v>48</v>
      </c>
      <c r="B115" s="16" t="s">
        <v>48</v>
      </c>
      <c r="C115" s="4" t="s">
        <v>48</v>
      </c>
      <c r="D115" s="4" t="s">
        <v>49</v>
      </c>
      <c r="E115" s="17" t="s">
        <v>171</v>
      </c>
      <c r="F115" s="4" t="s">
        <v>48</v>
      </c>
      <c r="G115" s="17" t="s">
        <v>48</v>
      </c>
      <c r="H115" s="16" t="s">
        <v>48</v>
      </c>
      <c r="I115" s="4">
        <v>5</v>
      </c>
      <c r="J115" s="4">
        <v>1</v>
      </c>
      <c r="K115" s="5">
        <v>0.25</v>
      </c>
    </row>
    <row r="116" spans="1:14" ht="36">
      <c r="A116" s="4" t="s">
        <v>48</v>
      </c>
      <c r="B116" s="16" t="s">
        <v>48</v>
      </c>
      <c r="C116" s="4" t="s">
        <v>48</v>
      </c>
      <c r="D116" s="4" t="s">
        <v>49</v>
      </c>
      <c r="E116" s="17" t="s">
        <v>172</v>
      </c>
      <c r="F116" s="4" t="s">
        <v>48</v>
      </c>
      <c r="G116" s="17" t="s">
        <v>173</v>
      </c>
      <c r="H116" s="16" t="s">
        <v>48</v>
      </c>
      <c r="I116" s="4">
        <v>3</v>
      </c>
      <c r="J116" s="4">
        <v>2</v>
      </c>
      <c r="K116" s="5">
        <v>0.75</v>
      </c>
    </row>
    <row r="117" spans="1:14">
      <c r="A117" s="4" t="s">
        <v>48</v>
      </c>
      <c r="B117" s="16" t="s">
        <v>48</v>
      </c>
      <c r="C117" s="4" t="s">
        <v>48</v>
      </c>
      <c r="D117" s="4" t="s">
        <v>49</v>
      </c>
      <c r="E117" s="17" t="s">
        <v>174</v>
      </c>
      <c r="F117" s="4" t="s">
        <v>48</v>
      </c>
      <c r="G117" s="17" t="s">
        <v>175</v>
      </c>
      <c r="H117" s="16" t="s">
        <v>48</v>
      </c>
      <c r="I117" s="4">
        <v>3</v>
      </c>
      <c r="J117" s="4">
        <v>1</v>
      </c>
      <c r="K117" s="5">
        <v>0.25</v>
      </c>
    </row>
    <row r="118" spans="1:14" ht="24">
      <c r="A118" s="4" t="s">
        <v>48</v>
      </c>
      <c r="B118" s="16" t="s">
        <v>48</v>
      </c>
      <c r="C118" s="4" t="s">
        <v>48</v>
      </c>
      <c r="D118" s="4" t="s">
        <v>49</v>
      </c>
      <c r="E118" s="17" t="s">
        <v>176</v>
      </c>
      <c r="F118" s="4" t="s">
        <v>48</v>
      </c>
      <c r="G118" s="17" t="s">
        <v>48</v>
      </c>
      <c r="H118" s="16" t="s">
        <v>48</v>
      </c>
      <c r="I118" s="4">
        <v>3</v>
      </c>
      <c r="J118" s="4">
        <v>1</v>
      </c>
      <c r="K118" s="5">
        <v>0.25</v>
      </c>
    </row>
    <row r="119" spans="1:14">
      <c r="A119" s="4" t="s">
        <v>48</v>
      </c>
      <c r="B119" s="16" t="s">
        <v>48</v>
      </c>
      <c r="C119" s="4" t="s">
        <v>48</v>
      </c>
      <c r="D119" s="4" t="s">
        <v>48</v>
      </c>
      <c r="E119" s="17" t="s">
        <v>48</v>
      </c>
      <c r="F119" s="4" t="s">
        <v>48</v>
      </c>
      <c r="G119" s="17" t="s">
        <v>48</v>
      </c>
      <c r="H119" s="16" t="s">
        <v>48</v>
      </c>
      <c r="I119" s="4"/>
      <c r="J119" s="4"/>
      <c r="K119" s="5"/>
    </row>
    <row r="120" spans="1:14">
      <c r="A120" s="4" t="s">
        <v>48</v>
      </c>
      <c r="B120" s="16" t="s">
        <v>48</v>
      </c>
      <c r="C120" s="4" t="s">
        <v>48</v>
      </c>
      <c r="D120" s="4" t="s">
        <v>48</v>
      </c>
      <c r="E120" s="17" t="s">
        <v>48</v>
      </c>
      <c r="F120" s="4" t="s">
        <v>48</v>
      </c>
      <c r="G120" s="17" t="s">
        <v>48</v>
      </c>
      <c r="H120" s="16" t="s">
        <v>48</v>
      </c>
      <c r="I120" s="4"/>
      <c r="J120" s="4"/>
      <c r="K120" s="5"/>
    </row>
    <row r="121" spans="1:14" ht="60">
      <c r="A121" s="12" t="s">
        <v>32</v>
      </c>
      <c r="B121" s="12" t="s">
        <v>33</v>
      </c>
      <c r="C121" s="12" t="s">
        <v>34</v>
      </c>
      <c r="D121" s="12" t="s">
        <v>35</v>
      </c>
      <c r="E121" s="12" t="s">
        <v>36</v>
      </c>
      <c r="F121" s="12" t="s">
        <v>37</v>
      </c>
      <c r="G121" s="12" t="s">
        <v>38</v>
      </c>
      <c r="H121" s="12" t="s">
        <v>39</v>
      </c>
      <c r="I121" s="12" t="s">
        <v>40</v>
      </c>
      <c r="J121" s="12" t="s">
        <v>41</v>
      </c>
      <c r="K121" s="12" t="s">
        <v>42</v>
      </c>
      <c r="L121" s="13" t="s">
        <v>177</v>
      </c>
      <c r="M121" s="14" t="s">
        <v>44</v>
      </c>
      <c r="N121" s="15">
        <f>SUM(K122:K177)</f>
        <v>21.25</v>
      </c>
    </row>
    <row r="122" spans="1:14">
      <c r="A122" s="4" t="s">
        <v>178</v>
      </c>
      <c r="B122" s="16" t="s">
        <v>179</v>
      </c>
      <c r="C122" s="4" t="s">
        <v>180</v>
      </c>
      <c r="D122" s="16" t="s">
        <v>48</v>
      </c>
      <c r="E122" s="17" t="s">
        <v>48</v>
      </c>
      <c r="F122" s="16" t="s">
        <v>48</v>
      </c>
      <c r="G122" s="17" t="s">
        <v>48</v>
      </c>
      <c r="H122" s="16" t="s">
        <v>48</v>
      </c>
      <c r="I122" s="16" t="s">
        <v>48</v>
      </c>
      <c r="J122" s="16" t="s">
        <v>48</v>
      </c>
      <c r="K122" s="16" t="s">
        <v>48</v>
      </c>
    </row>
    <row r="123" spans="1:14">
      <c r="A123" s="4" t="s">
        <v>48</v>
      </c>
      <c r="B123" s="16" t="s">
        <v>48</v>
      </c>
      <c r="C123" s="4" t="s">
        <v>48</v>
      </c>
      <c r="D123" s="4" t="s">
        <v>49</v>
      </c>
      <c r="E123" s="17" t="s">
        <v>181</v>
      </c>
      <c r="F123" s="4" t="s">
        <v>48</v>
      </c>
      <c r="G123" s="17" t="s">
        <v>182</v>
      </c>
      <c r="H123" s="16" t="s">
        <v>48</v>
      </c>
      <c r="I123" s="4">
        <v>2</v>
      </c>
      <c r="J123" s="4">
        <v>1</v>
      </c>
      <c r="K123" s="5">
        <v>0.25</v>
      </c>
    </row>
    <row r="124" spans="1:14" ht="36">
      <c r="A124" s="4" t="s">
        <v>48</v>
      </c>
      <c r="B124" s="16" t="s">
        <v>48</v>
      </c>
      <c r="C124" s="4" t="s">
        <v>48</v>
      </c>
      <c r="D124" s="4" t="s">
        <v>49</v>
      </c>
      <c r="E124" s="17" t="s">
        <v>183</v>
      </c>
      <c r="F124" s="4" t="s">
        <v>48</v>
      </c>
      <c r="G124" s="17" t="s">
        <v>184</v>
      </c>
      <c r="H124" s="16" t="s">
        <v>48</v>
      </c>
      <c r="I124" s="4">
        <v>5</v>
      </c>
      <c r="J124" s="4">
        <v>1</v>
      </c>
      <c r="K124" s="5">
        <v>1</v>
      </c>
    </row>
    <row r="125" spans="1:14">
      <c r="A125" s="4" t="s">
        <v>48</v>
      </c>
      <c r="B125" s="16" t="s">
        <v>48</v>
      </c>
      <c r="C125" s="4" t="s">
        <v>48</v>
      </c>
      <c r="D125" s="4" t="s">
        <v>49</v>
      </c>
      <c r="E125" s="17" t="s">
        <v>185</v>
      </c>
      <c r="F125" s="4" t="s">
        <v>48</v>
      </c>
      <c r="G125" s="17" t="s">
        <v>186</v>
      </c>
      <c r="H125" s="16" t="s">
        <v>48</v>
      </c>
      <c r="I125" s="4">
        <v>5</v>
      </c>
      <c r="J125" s="4">
        <v>1</v>
      </c>
      <c r="K125" s="5">
        <v>0.5</v>
      </c>
    </row>
    <row r="126" spans="1:14">
      <c r="A126" s="4" t="s">
        <v>48</v>
      </c>
      <c r="B126" s="16" t="s">
        <v>48</v>
      </c>
      <c r="C126" s="4" t="s">
        <v>48</v>
      </c>
      <c r="D126" s="4" t="s">
        <v>49</v>
      </c>
      <c r="E126" s="17" t="s">
        <v>187</v>
      </c>
      <c r="F126" s="4" t="s">
        <v>48</v>
      </c>
      <c r="G126" s="17" t="s">
        <v>48</v>
      </c>
      <c r="H126" s="16" t="s">
        <v>48</v>
      </c>
      <c r="I126" s="4">
        <v>5</v>
      </c>
      <c r="J126" s="4">
        <v>1</v>
      </c>
      <c r="K126" s="5">
        <v>0.5</v>
      </c>
    </row>
    <row r="127" spans="1:14">
      <c r="A127" s="4" t="s">
        <v>48</v>
      </c>
      <c r="B127" s="16" t="s">
        <v>48</v>
      </c>
      <c r="C127" s="4" t="s">
        <v>48</v>
      </c>
      <c r="D127" s="4" t="s">
        <v>49</v>
      </c>
      <c r="E127" s="17" t="s">
        <v>188</v>
      </c>
      <c r="F127" s="4" t="s">
        <v>48</v>
      </c>
      <c r="G127" s="17" t="s">
        <v>48</v>
      </c>
      <c r="H127" s="16" t="s">
        <v>48</v>
      </c>
      <c r="I127" s="4">
        <v>5</v>
      </c>
      <c r="J127" s="4">
        <v>1</v>
      </c>
      <c r="K127" s="5">
        <v>0.25</v>
      </c>
    </row>
    <row r="128" spans="1:14" ht="36">
      <c r="A128" s="4" t="s">
        <v>48</v>
      </c>
      <c r="B128" s="16" t="s">
        <v>48</v>
      </c>
      <c r="C128" s="4" t="s">
        <v>48</v>
      </c>
      <c r="D128" s="4" t="s">
        <v>49</v>
      </c>
      <c r="E128" s="17" t="s">
        <v>189</v>
      </c>
      <c r="F128" s="4" t="s">
        <v>48</v>
      </c>
      <c r="G128" s="17" t="s">
        <v>190</v>
      </c>
      <c r="H128" s="16" t="s">
        <v>48</v>
      </c>
      <c r="I128" s="4">
        <v>5</v>
      </c>
      <c r="J128" s="4">
        <v>2</v>
      </c>
      <c r="K128" s="5">
        <v>1.5</v>
      </c>
    </row>
    <row r="129" spans="1:11" ht="48">
      <c r="A129" s="4" t="s">
        <v>48</v>
      </c>
      <c r="B129" s="16" t="s">
        <v>48</v>
      </c>
      <c r="C129" s="4" t="s">
        <v>48</v>
      </c>
      <c r="D129" s="4" t="s">
        <v>49</v>
      </c>
      <c r="E129" s="17" t="s">
        <v>191</v>
      </c>
      <c r="F129" s="4" t="s">
        <v>48</v>
      </c>
      <c r="G129" s="17" t="s">
        <v>192</v>
      </c>
      <c r="H129" s="16" t="s">
        <v>48</v>
      </c>
      <c r="I129" s="4">
        <v>5</v>
      </c>
      <c r="J129" s="4">
        <v>2</v>
      </c>
      <c r="K129" s="5">
        <v>1</v>
      </c>
    </row>
    <row r="130" spans="1:11">
      <c r="A130" s="4" t="s">
        <v>48</v>
      </c>
      <c r="B130" s="16" t="s">
        <v>48</v>
      </c>
      <c r="C130" s="4" t="s">
        <v>48</v>
      </c>
      <c r="D130" s="4" t="s">
        <v>49</v>
      </c>
      <c r="E130" s="17" t="s">
        <v>193</v>
      </c>
      <c r="F130" s="4" t="s">
        <v>48</v>
      </c>
      <c r="G130" s="17" t="s">
        <v>48</v>
      </c>
      <c r="H130" s="16" t="s">
        <v>48</v>
      </c>
      <c r="I130" s="4">
        <v>5</v>
      </c>
      <c r="J130" s="4">
        <v>1</v>
      </c>
      <c r="K130" s="5">
        <v>0.5</v>
      </c>
    </row>
    <row r="131" spans="1:11">
      <c r="A131" s="4" t="s">
        <v>48</v>
      </c>
      <c r="B131" s="16" t="s">
        <v>48</v>
      </c>
      <c r="C131" s="4" t="s">
        <v>48</v>
      </c>
      <c r="D131" s="4" t="s">
        <v>49</v>
      </c>
      <c r="E131" s="17" t="s">
        <v>194</v>
      </c>
      <c r="F131" s="4" t="s">
        <v>48</v>
      </c>
      <c r="G131" s="17" t="s">
        <v>48</v>
      </c>
      <c r="H131" s="16" t="s">
        <v>48</v>
      </c>
      <c r="I131" s="4">
        <v>5</v>
      </c>
      <c r="J131" s="4">
        <v>1</v>
      </c>
      <c r="K131" s="5">
        <v>0.5</v>
      </c>
    </row>
    <row r="132" spans="1:11">
      <c r="A132" s="4" t="s">
        <v>48</v>
      </c>
      <c r="B132" s="16" t="s">
        <v>48</v>
      </c>
      <c r="C132" s="4" t="s">
        <v>48</v>
      </c>
      <c r="D132" s="4" t="s">
        <v>49</v>
      </c>
      <c r="E132" s="17" t="s">
        <v>195</v>
      </c>
      <c r="F132" s="4" t="s">
        <v>48</v>
      </c>
      <c r="G132" s="17" t="s">
        <v>196</v>
      </c>
      <c r="H132" s="16" t="s">
        <v>48</v>
      </c>
      <c r="I132" s="4">
        <v>5</v>
      </c>
      <c r="J132" s="4">
        <v>1</v>
      </c>
      <c r="K132" s="5">
        <v>0.5</v>
      </c>
    </row>
    <row r="133" spans="1:11" ht="24">
      <c r="A133" s="4" t="s">
        <v>48</v>
      </c>
      <c r="B133" s="16" t="s">
        <v>48</v>
      </c>
      <c r="C133" s="4" t="s">
        <v>48</v>
      </c>
      <c r="D133" s="4" t="s">
        <v>49</v>
      </c>
      <c r="E133" s="17" t="s">
        <v>197</v>
      </c>
      <c r="F133" s="4" t="s">
        <v>48</v>
      </c>
      <c r="G133" s="17" t="s">
        <v>198</v>
      </c>
      <c r="H133" s="16" t="s">
        <v>48</v>
      </c>
      <c r="I133" s="4">
        <v>1</v>
      </c>
      <c r="J133" s="4">
        <v>4</v>
      </c>
      <c r="K133" s="5">
        <v>0.5</v>
      </c>
    </row>
    <row r="134" spans="1:11">
      <c r="A134" s="4" t="s">
        <v>199</v>
      </c>
      <c r="B134" s="16" t="s">
        <v>200</v>
      </c>
      <c r="C134" s="4" t="s">
        <v>180</v>
      </c>
      <c r="D134" s="16" t="s">
        <v>48</v>
      </c>
      <c r="E134" s="17" t="s">
        <v>48</v>
      </c>
      <c r="F134" s="16" t="s">
        <v>48</v>
      </c>
      <c r="G134" s="17" t="s">
        <v>48</v>
      </c>
      <c r="H134" s="16" t="s">
        <v>48</v>
      </c>
      <c r="I134" s="16" t="s">
        <v>48</v>
      </c>
      <c r="J134" s="16" t="s">
        <v>48</v>
      </c>
      <c r="K134" s="16" t="s">
        <v>48</v>
      </c>
    </row>
    <row r="135" spans="1:11" ht="24">
      <c r="A135" s="4" t="s">
        <v>48</v>
      </c>
      <c r="B135" s="16" t="s">
        <v>48</v>
      </c>
      <c r="C135" s="4" t="s">
        <v>48</v>
      </c>
      <c r="D135" s="4" t="s">
        <v>49</v>
      </c>
      <c r="E135" s="17" t="s">
        <v>201</v>
      </c>
      <c r="F135" s="4" t="s">
        <v>48</v>
      </c>
      <c r="G135" s="17" t="s">
        <v>202</v>
      </c>
      <c r="H135" s="16" t="s">
        <v>48</v>
      </c>
      <c r="I135" s="4">
        <v>5</v>
      </c>
      <c r="J135" s="4">
        <v>5</v>
      </c>
      <c r="K135" s="5">
        <v>1</v>
      </c>
    </row>
    <row r="136" spans="1:11">
      <c r="A136" s="4" t="s">
        <v>48</v>
      </c>
      <c r="B136" s="16" t="s">
        <v>48</v>
      </c>
      <c r="C136" s="4" t="s">
        <v>48</v>
      </c>
      <c r="D136" s="4" t="s">
        <v>49</v>
      </c>
      <c r="E136" s="17" t="s">
        <v>203</v>
      </c>
      <c r="F136" s="4" t="s">
        <v>48</v>
      </c>
      <c r="G136" s="17" t="s">
        <v>155</v>
      </c>
      <c r="H136" s="16" t="s">
        <v>48</v>
      </c>
      <c r="I136" s="4">
        <v>5</v>
      </c>
      <c r="J136" s="4">
        <v>2</v>
      </c>
      <c r="K136" s="5">
        <v>0.75</v>
      </c>
    </row>
    <row r="137" spans="1:11">
      <c r="A137" s="4" t="s">
        <v>48</v>
      </c>
      <c r="B137" s="16" t="s">
        <v>48</v>
      </c>
      <c r="C137" s="4" t="s">
        <v>48</v>
      </c>
      <c r="D137" s="4" t="s">
        <v>49</v>
      </c>
      <c r="E137" s="17" t="s">
        <v>204</v>
      </c>
      <c r="F137" s="4" t="s">
        <v>48</v>
      </c>
      <c r="G137" s="17" t="s">
        <v>205</v>
      </c>
      <c r="H137" s="16" t="s">
        <v>48</v>
      </c>
      <c r="I137" s="4">
        <v>5</v>
      </c>
      <c r="J137" s="4">
        <v>1</v>
      </c>
      <c r="K137" s="5">
        <v>0.25</v>
      </c>
    </row>
    <row r="138" spans="1:11">
      <c r="A138" s="4" t="s">
        <v>206</v>
      </c>
      <c r="B138" s="16" t="s">
        <v>207</v>
      </c>
      <c r="C138" s="4" t="s">
        <v>180</v>
      </c>
      <c r="D138" s="16" t="s">
        <v>48</v>
      </c>
      <c r="E138" s="17" t="s">
        <v>48</v>
      </c>
      <c r="F138" s="16" t="s">
        <v>48</v>
      </c>
      <c r="G138" s="17" t="s">
        <v>48</v>
      </c>
      <c r="H138" s="16" t="s">
        <v>48</v>
      </c>
      <c r="I138" s="16" t="s">
        <v>48</v>
      </c>
      <c r="J138" s="16" t="s">
        <v>48</v>
      </c>
      <c r="K138" s="16" t="s">
        <v>48</v>
      </c>
    </row>
    <row r="139" spans="1:11" ht="24">
      <c r="A139" s="4" t="s">
        <v>48</v>
      </c>
      <c r="B139" s="16" t="s">
        <v>48</v>
      </c>
      <c r="C139" s="4" t="s">
        <v>48</v>
      </c>
      <c r="D139" s="4" t="s">
        <v>49</v>
      </c>
      <c r="E139" s="17" t="s">
        <v>208</v>
      </c>
      <c r="F139" s="4" t="s">
        <v>48</v>
      </c>
      <c r="G139" s="17" t="s">
        <v>209</v>
      </c>
      <c r="H139" s="16" t="s">
        <v>48</v>
      </c>
      <c r="I139" s="4">
        <v>5</v>
      </c>
      <c r="J139" s="4">
        <v>1</v>
      </c>
      <c r="K139" s="5">
        <v>1</v>
      </c>
    </row>
    <row r="140" spans="1:11" ht="24">
      <c r="A140" s="4" t="s">
        <v>48</v>
      </c>
      <c r="B140" s="16" t="s">
        <v>48</v>
      </c>
      <c r="C140" s="4" t="s">
        <v>48</v>
      </c>
      <c r="D140" s="4" t="s">
        <v>49</v>
      </c>
      <c r="E140" s="17" t="s">
        <v>210</v>
      </c>
      <c r="F140" s="4" t="s">
        <v>48</v>
      </c>
      <c r="G140" s="17" t="s">
        <v>211</v>
      </c>
      <c r="H140" s="16" t="s">
        <v>48</v>
      </c>
      <c r="I140" s="4">
        <v>5</v>
      </c>
      <c r="J140" s="4">
        <v>1</v>
      </c>
      <c r="K140" s="5">
        <v>1</v>
      </c>
    </row>
    <row r="141" spans="1:11" ht="24">
      <c r="A141" s="4" t="s">
        <v>48</v>
      </c>
      <c r="B141" s="16" t="s">
        <v>48</v>
      </c>
      <c r="C141" s="4" t="s">
        <v>48</v>
      </c>
      <c r="D141" s="4" t="s">
        <v>49</v>
      </c>
      <c r="E141" s="17" t="s">
        <v>212</v>
      </c>
      <c r="F141" s="4" t="s">
        <v>48</v>
      </c>
      <c r="G141" s="17" t="s">
        <v>213</v>
      </c>
      <c r="H141" s="16" t="s">
        <v>48</v>
      </c>
      <c r="I141" s="4">
        <v>5</v>
      </c>
      <c r="J141" s="4">
        <v>1</v>
      </c>
      <c r="K141" s="5">
        <v>0.75</v>
      </c>
    </row>
    <row r="142" spans="1:11">
      <c r="A142" s="4" t="s">
        <v>48</v>
      </c>
      <c r="B142" s="16" t="s">
        <v>48</v>
      </c>
      <c r="C142" s="4" t="s">
        <v>48</v>
      </c>
      <c r="D142" s="4" t="s">
        <v>49</v>
      </c>
      <c r="E142" s="17" t="s">
        <v>214</v>
      </c>
      <c r="F142" s="4" t="s">
        <v>48</v>
      </c>
      <c r="G142" s="17" t="s">
        <v>48</v>
      </c>
      <c r="H142" s="16" t="s">
        <v>48</v>
      </c>
      <c r="I142" s="4">
        <v>5</v>
      </c>
      <c r="J142" s="4">
        <v>1</v>
      </c>
      <c r="K142" s="5">
        <v>0.5</v>
      </c>
    </row>
    <row r="143" spans="1:11">
      <c r="A143" s="4" t="s">
        <v>48</v>
      </c>
      <c r="B143" s="16" t="s">
        <v>48</v>
      </c>
      <c r="C143" s="4" t="s">
        <v>48</v>
      </c>
      <c r="D143" s="4" t="s">
        <v>49</v>
      </c>
      <c r="E143" s="17" t="s">
        <v>215</v>
      </c>
      <c r="F143" s="4" t="s">
        <v>48</v>
      </c>
      <c r="G143" s="17" t="s">
        <v>48</v>
      </c>
      <c r="H143" s="16" t="s">
        <v>48</v>
      </c>
      <c r="I143" s="4">
        <v>5</v>
      </c>
      <c r="J143" s="4">
        <v>1</v>
      </c>
      <c r="K143" s="5">
        <v>0.5</v>
      </c>
    </row>
    <row r="144" spans="1:11" ht="24">
      <c r="A144" s="4" t="s">
        <v>48</v>
      </c>
      <c r="B144" s="16" t="s">
        <v>48</v>
      </c>
      <c r="C144" s="4" t="s">
        <v>48</v>
      </c>
      <c r="D144" s="4" t="s">
        <v>49</v>
      </c>
      <c r="E144" s="17" t="s">
        <v>216</v>
      </c>
      <c r="F144" s="4" t="s">
        <v>48</v>
      </c>
      <c r="G144" s="17" t="s">
        <v>217</v>
      </c>
      <c r="H144" s="16" t="s">
        <v>48</v>
      </c>
      <c r="I144" s="4">
        <v>5</v>
      </c>
      <c r="J144" s="4">
        <v>1</v>
      </c>
      <c r="K144" s="5">
        <v>0.5</v>
      </c>
    </row>
    <row r="145" spans="1:11">
      <c r="A145" s="4" t="s">
        <v>48</v>
      </c>
      <c r="B145" s="16" t="s">
        <v>48</v>
      </c>
      <c r="C145" s="4" t="s">
        <v>48</v>
      </c>
      <c r="D145" s="4" t="s">
        <v>49</v>
      </c>
      <c r="E145" s="17" t="s">
        <v>218</v>
      </c>
      <c r="F145" s="4" t="s">
        <v>48</v>
      </c>
      <c r="G145" s="17" t="s">
        <v>219</v>
      </c>
      <c r="H145" s="16" t="s">
        <v>48</v>
      </c>
      <c r="I145" s="4">
        <v>5</v>
      </c>
      <c r="J145" s="4">
        <v>1</v>
      </c>
      <c r="K145" s="5">
        <v>0.5</v>
      </c>
    </row>
    <row r="146" spans="1:11">
      <c r="A146" s="4" t="s">
        <v>48</v>
      </c>
      <c r="B146" s="16" t="s">
        <v>48</v>
      </c>
      <c r="C146" s="4" t="s">
        <v>48</v>
      </c>
      <c r="D146" s="4" t="s">
        <v>49</v>
      </c>
      <c r="E146" s="17" t="s">
        <v>220</v>
      </c>
      <c r="F146" s="4" t="s">
        <v>48</v>
      </c>
      <c r="G146" s="17" t="s">
        <v>48</v>
      </c>
      <c r="H146" s="16" t="s">
        <v>48</v>
      </c>
      <c r="I146" s="4">
        <v>5</v>
      </c>
      <c r="J146" s="4">
        <v>1</v>
      </c>
      <c r="K146" s="5">
        <v>0.25</v>
      </c>
    </row>
    <row r="147" spans="1:11">
      <c r="A147" s="4" t="s">
        <v>48</v>
      </c>
      <c r="B147" s="16" t="s">
        <v>48</v>
      </c>
      <c r="C147" s="4" t="s">
        <v>48</v>
      </c>
      <c r="D147" s="4" t="s">
        <v>49</v>
      </c>
      <c r="E147" s="17" t="s">
        <v>221</v>
      </c>
      <c r="F147" s="4" t="s">
        <v>48</v>
      </c>
      <c r="G147" s="17" t="s">
        <v>48</v>
      </c>
      <c r="H147" s="16" t="s">
        <v>48</v>
      </c>
      <c r="I147" s="4">
        <v>5</v>
      </c>
      <c r="J147" s="4">
        <v>1</v>
      </c>
      <c r="K147" s="5">
        <v>0.5</v>
      </c>
    </row>
    <row r="148" spans="1:11">
      <c r="A148" s="4" t="s">
        <v>222</v>
      </c>
      <c r="B148" s="16" t="s">
        <v>223</v>
      </c>
      <c r="C148" s="4" t="s">
        <v>180</v>
      </c>
      <c r="D148" s="16" t="s">
        <v>48</v>
      </c>
      <c r="E148" s="17" t="s">
        <v>48</v>
      </c>
      <c r="F148" s="16" t="s">
        <v>48</v>
      </c>
      <c r="G148" s="17" t="s">
        <v>48</v>
      </c>
      <c r="H148" s="16" t="s">
        <v>48</v>
      </c>
      <c r="I148" s="16" t="s">
        <v>48</v>
      </c>
      <c r="J148" s="16" t="s">
        <v>48</v>
      </c>
      <c r="K148" s="16" t="s">
        <v>48</v>
      </c>
    </row>
    <row r="149" spans="1:11">
      <c r="A149" s="4" t="s">
        <v>48</v>
      </c>
      <c r="B149" s="16" t="s">
        <v>48</v>
      </c>
      <c r="C149" s="4" t="s">
        <v>48</v>
      </c>
      <c r="D149" s="4" t="s">
        <v>49</v>
      </c>
      <c r="E149" s="17" t="s">
        <v>224</v>
      </c>
      <c r="F149" s="4" t="s">
        <v>48</v>
      </c>
      <c r="G149" s="17" t="s">
        <v>225</v>
      </c>
      <c r="H149" s="16" t="s">
        <v>48</v>
      </c>
      <c r="I149" s="4">
        <v>5</v>
      </c>
      <c r="J149" s="4">
        <v>1</v>
      </c>
      <c r="K149" s="5">
        <v>0.5</v>
      </c>
    </row>
    <row r="150" spans="1:11" ht="24">
      <c r="A150" s="4" t="s">
        <v>48</v>
      </c>
      <c r="B150" s="16" t="s">
        <v>48</v>
      </c>
      <c r="C150" s="4" t="s">
        <v>48</v>
      </c>
      <c r="D150" s="4" t="s">
        <v>49</v>
      </c>
      <c r="E150" s="17" t="s">
        <v>226</v>
      </c>
      <c r="F150" s="4" t="s">
        <v>48</v>
      </c>
      <c r="G150" s="17" t="s">
        <v>227</v>
      </c>
      <c r="H150" s="16" t="s">
        <v>48</v>
      </c>
      <c r="I150" s="4">
        <v>5</v>
      </c>
      <c r="J150" s="4">
        <v>1</v>
      </c>
      <c r="K150" s="5">
        <v>0.5</v>
      </c>
    </row>
    <row r="151" spans="1:11" ht="24">
      <c r="A151" s="4" t="s">
        <v>48</v>
      </c>
      <c r="B151" s="16" t="s">
        <v>48</v>
      </c>
      <c r="C151" s="4" t="s">
        <v>48</v>
      </c>
      <c r="D151" s="4" t="s">
        <v>49</v>
      </c>
      <c r="E151" s="17" t="s">
        <v>228</v>
      </c>
      <c r="F151" s="4" t="s">
        <v>48</v>
      </c>
      <c r="G151" s="17" t="s">
        <v>48</v>
      </c>
      <c r="H151" s="16" t="s">
        <v>48</v>
      </c>
      <c r="I151" s="4">
        <v>3</v>
      </c>
      <c r="J151" s="4">
        <v>1</v>
      </c>
      <c r="K151" s="5">
        <v>0.5</v>
      </c>
    </row>
    <row r="152" spans="1:11">
      <c r="A152" s="4" t="s">
        <v>48</v>
      </c>
      <c r="B152" s="16" t="s">
        <v>48</v>
      </c>
      <c r="C152" s="4" t="s">
        <v>48</v>
      </c>
      <c r="D152" s="4" t="s">
        <v>49</v>
      </c>
      <c r="E152" s="17" t="s">
        <v>229</v>
      </c>
      <c r="F152" s="4" t="s">
        <v>48</v>
      </c>
      <c r="G152" s="17" t="s">
        <v>48</v>
      </c>
      <c r="H152" s="16" t="s">
        <v>48</v>
      </c>
      <c r="I152" s="4">
        <v>3</v>
      </c>
      <c r="J152" s="4">
        <v>1</v>
      </c>
      <c r="K152" s="5">
        <v>0.25</v>
      </c>
    </row>
    <row r="153" spans="1:11">
      <c r="A153" s="4" t="s">
        <v>48</v>
      </c>
      <c r="B153" s="16" t="s">
        <v>48</v>
      </c>
      <c r="C153" s="4" t="s">
        <v>48</v>
      </c>
      <c r="D153" s="4" t="s">
        <v>49</v>
      </c>
      <c r="E153" s="17" t="s">
        <v>230</v>
      </c>
      <c r="F153" s="4" t="s">
        <v>48</v>
      </c>
      <c r="G153" s="17" t="s">
        <v>48</v>
      </c>
      <c r="H153" s="16" t="s">
        <v>48</v>
      </c>
      <c r="I153" s="4">
        <v>3</v>
      </c>
      <c r="J153" s="4">
        <v>1</v>
      </c>
      <c r="K153" s="5">
        <v>0.25</v>
      </c>
    </row>
    <row r="154" spans="1:11">
      <c r="A154" s="4" t="s">
        <v>48</v>
      </c>
      <c r="B154" s="16" t="s">
        <v>48</v>
      </c>
      <c r="C154" s="4" t="s">
        <v>48</v>
      </c>
      <c r="D154" s="4" t="s">
        <v>49</v>
      </c>
      <c r="E154" s="17" t="s">
        <v>231</v>
      </c>
      <c r="F154" s="4" t="s">
        <v>48</v>
      </c>
      <c r="G154" s="17" t="s">
        <v>48</v>
      </c>
      <c r="H154" s="16" t="s">
        <v>48</v>
      </c>
      <c r="I154" s="4">
        <v>3</v>
      </c>
      <c r="J154" s="4">
        <v>1</v>
      </c>
      <c r="K154" s="5">
        <v>0.25</v>
      </c>
    </row>
    <row r="155" spans="1:11">
      <c r="A155" s="4" t="s">
        <v>48</v>
      </c>
      <c r="B155" s="16" t="s">
        <v>48</v>
      </c>
      <c r="C155" s="4" t="s">
        <v>48</v>
      </c>
      <c r="D155" s="4" t="s">
        <v>49</v>
      </c>
      <c r="E155" s="17" t="s">
        <v>232</v>
      </c>
      <c r="F155" s="4" t="s">
        <v>48</v>
      </c>
      <c r="G155" s="17" t="s">
        <v>48</v>
      </c>
      <c r="H155" s="16" t="s">
        <v>48</v>
      </c>
      <c r="I155" s="4">
        <v>3</v>
      </c>
      <c r="J155" s="4">
        <v>1</v>
      </c>
      <c r="K155" s="5">
        <v>0.25</v>
      </c>
    </row>
    <row r="156" spans="1:11" ht="24">
      <c r="A156" s="4" t="s">
        <v>48</v>
      </c>
      <c r="B156" s="16" t="s">
        <v>48</v>
      </c>
      <c r="C156" s="4" t="s">
        <v>48</v>
      </c>
      <c r="D156" s="4" t="s">
        <v>49</v>
      </c>
      <c r="E156" s="17" t="s">
        <v>233</v>
      </c>
      <c r="F156" s="4" t="s">
        <v>48</v>
      </c>
      <c r="G156" s="17" t="s">
        <v>48</v>
      </c>
      <c r="H156" s="16" t="s">
        <v>48</v>
      </c>
      <c r="I156" s="4">
        <v>3</v>
      </c>
      <c r="J156" s="4">
        <v>1</v>
      </c>
      <c r="K156" s="5">
        <v>0.25</v>
      </c>
    </row>
    <row r="157" spans="1:11">
      <c r="A157" s="4" t="s">
        <v>48</v>
      </c>
      <c r="B157" s="16" t="s">
        <v>48</v>
      </c>
      <c r="C157" s="4" t="s">
        <v>48</v>
      </c>
      <c r="D157" s="4" t="s">
        <v>49</v>
      </c>
      <c r="E157" s="17" t="s">
        <v>234</v>
      </c>
      <c r="F157" s="4" t="s">
        <v>48</v>
      </c>
      <c r="G157" s="17" t="s">
        <v>48</v>
      </c>
      <c r="H157" s="16" t="s">
        <v>48</v>
      </c>
      <c r="I157" s="4">
        <v>3</v>
      </c>
      <c r="J157" s="4">
        <v>1</v>
      </c>
      <c r="K157" s="5">
        <v>0.25</v>
      </c>
    </row>
    <row r="158" spans="1:11">
      <c r="A158" s="4" t="s">
        <v>48</v>
      </c>
      <c r="B158" s="16" t="s">
        <v>48</v>
      </c>
      <c r="C158" s="4" t="s">
        <v>48</v>
      </c>
      <c r="D158" s="4" t="s">
        <v>49</v>
      </c>
      <c r="E158" s="17" t="s">
        <v>235</v>
      </c>
      <c r="F158" s="4" t="s">
        <v>48</v>
      </c>
      <c r="G158" s="17" t="s">
        <v>48</v>
      </c>
      <c r="H158" s="16" t="s">
        <v>48</v>
      </c>
      <c r="I158" s="4">
        <v>3</v>
      </c>
      <c r="J158" s="4">
        <v>1</v>
      </c>
      <c r="K158" s="5">
        <v>0.25</v>
      </c>
    </row>
    <row r="159" spans="1:11" ht="36">
      <c r="A159" s="4" t="s">
        <v>48</v>
      </c>
      <c r="B159" s="16" t="s">
        <v>48</v>
      </c>
      <c r="C159" s="4" t="s">
        <v>48</v>
      </c>
      <c r="D159" s="4" t="s">
        <v>49</v>
      </c>
      <c r="E159" s="17" t="s">
        <v>236</v>
      </c>
      <c r="F159" s="4" t="s">
        <v>48</v>
      </c>
      <c r="G159" s="17" t="s">
        <v>237</v>
      </c>
      <c r="H159" s="16" t="s">
        <v>48</v>
      </c>
      <c r="I159" s="4">
        <v>3</v>
      </c>
      <c r="J159" s="4">
        <v>2</v>
      </c>
      <c r="K159" s="5">
        <v>0.5</v>
      </c>
    </row>
    <row r="160" spans="1:11" ht="24">
      <c r="A160" s="4" t="s">
        <v>48</v>
      </c>
      <c r="B160" s="16" t="s">
        <v>48</v>
      </c>
      <c r="C160" s="4" t="s">
        <v>48</v>
      </c>
      <c r="D160" s="4" t="s">
        <v>49</v>
      </c>
      <c r="E160" s="17" t="s">
        <v>238</v>
      </c>
      <c r="F160" s="4" t="s">
        <v>48</v>
      </c>
      <c r="G160" s="17" t="s">
        <v>239</v>
      </c>
      <c r="H160" s="16" t="s">
        <v>48</v>
      </c>
      <c r="I160" s="4">
        <v>4</v>
      </c>
      <c r="J160" s="4">
        <v>2</v>
      </c>
      <c r="K160" s="5">
        <v>1</v>
      </c>
    </row>
    <row r="161" spans="1:11">
      <c r="A161" s="4" t="s">
        <v>48</v>
      </c>
      <c r="B161" s="16" t="s">
        <v>48</v>
      </c>
      <c r="C161" s="4" t="s">
        <v>48</v>
      </c>
      <c r="D161" s="4" t="s">
        <v>60</v>
      </c>
      <c r="E161" s="17" t="s">
        <v>240</v>
      </c>
      <c r="F161" s="4" t="s">
        <v>48</v>
      </c>
      <c r="G161" s="17" t="s">
        <v>48</v>
      </c>
      <c r="H161" s="16" t="s">
        <v>48</v>
      </c>
      <c r="I161" s="4">
        <v>3</v>
      </c>
      <c r="J161" s="4"/>
      <c r="K161" s="5">
        <v>0.5</v>
      </c>
    </row>
    <row r="162" spans="1:11" ht="24">
      <c r="A162" s="4" t="s">
        <v>48</v>
      </c>
      <c r="B162" s="16" t="s">
        <v>48</v>
      </c>
      <c r="C162" s="4" t="s">
        <v>48</v>
      </c>
      <c r="D162" s="4" t="s">
        <v>48</v>
      </c>
      <c r="E162" s="17" t="s">
        <v>48</v>
      </c>
      <c r="F162" s="4">
        <v>0</v>
      </c>
      <c r="G162" s="17" t="s">
        <v>241</v>
      </c>
      <c r="H162" s="16" t="s">
        <v>48</v>
      </c>
      <c r="I162" s="4"/>
      <c r="J162" s="4"/>
      <c r="K162" s="5"/>
    </row>
    <row r="163" spans="1:11" ht="24">
      <c r="A163" s="4" t="s">
        <v>48</v>
      </c>
      <c r="B163" s="16" t="s">
        <v>48</v>
      </c>
      <c r="C163" s="4" t="s">
        <v>48</v>
      </c>
      <c r="D163" s="4" t="s">
        <v>48</v>
      </c>
      <c r="E163" s="17" t="s">
        <v>48</v>
      </c>
      <c r="F163" s="4">
        <v>1</v>
      </c>
      <c r="G163" s="17" t="s">
        <v>242</v>
      </c>
      <c r="H163" s="16" t="s">
        <v>48</v>
      </c>
      <c r="I163" s="4"/>
      <c r="J163" s="4"/>
      <c r="K163" s="5"/>
    </row>
    <row r="164" spans="1:11" ht="24">
      <c r="A164" s="4" t="s">
        <v>48</v>
      </c>
      <c r="B164" s="16" t="s">
        <v>48</v>
      </c>
      <c r="C164" s="4" t="s">
        <v>48</v>
      </c>
      <c r="D164" s="4" t="s">
        <v>48</v>
      </c>
      <c r="E164" s="17" t="s">
        <v>48</v>
      </c>
      <c r="F164" s="4">
        <v>2</v>
      </c>
      <c r="G164" s="17" t="s">
        <v>243</v>
      </c>
      <c r="H164" s="16" t="s">
        <v>48</v>
      </c>
      <c r="I164" s="4"/>
      <c r="J164" s="4"/>
      <c r="K164" s="5"/>
    </row>
    <row r="165" spans="1:11">
      <c r="A165" s="4" t="s">
        <v>48</v>
      </c>
      <c r="B165" s="16" t="s">
        <v>48</v>
      </c>
      <c r="C165" s="4" t="s">
        <v>48</v>
      </c>
      <c r="D165" s="4" t="s">
        <v>48</v>
      </c>
      <c r="E165" s="17" t="s">
        <v>48</v>
      </c>
      <c r="F165" s="4">
        <v>3</v>
      </c>
      <c r="G165" s="17" t="s">
        <v>244</v>
      </c>
      <c r="H165" s="16" t="s">
        <v>48</v>
      </c>
      <c r="I165" s="4"/>
      <c r="J165" s="4"/>
      <c r="K165" s="5"/>
    </row>
    <row r="166" spans="1:11">
      <c r="A166" s="4" t="s">
        <v>48</v>
      </c>
      <c r="B166" s="16" t="s">
        <v>48</v>
      </c>
      <c r="C166" s="4" t="s">
        <v>48</v>
      </c>
      <c r="D166" s="4" t="s">
        <v>60</v>
      </c>
      <c r="E166" s="17" t="s">
        <v>245</v>
      </c>
      <c r="F166" s="4" t="s">
        <v>48</v>
      </c>
      <c r="G166" s="17" t="s">
        <v>48</v>
      </c>
      <c r="H166" s="16" t="s">
        <v>48</v>
      </c>
      <c r="I166" s="4">
        <v>3</v>
      </c>
      <c r="J166" s="4"/>
      <c r="K166" s="5">
        <v>0.5</v>
      </c>
    </row>
    <row r="167" spans="1:11" ht="24">
      <c r="A167" s="4" t="s">
        <v>48</v>
      </c>
      <c r="B167" s="16" t="s">
        <v>48</v>
      </c>
      <c r="C167" s="4" t="s">
        <v>48</v>
      </c>
      <c r="D167" s="4" t="s">
        <v>48</v>
      </c>
      <c r="E167" s="17" t="s">
        <v>48</v>
      </c>
      <c r="F167" s="4">
        <v>0</v>
      </c>
      <c r="G167" s="17" t="s">
        <v>241</v>
      </c>
      <c r="H167" s="16" t="s">
        <v>48</v>
      </c>
      <c r="I167" s="4"/>
      <c r="J167" s="4"/>
      <c r="K167" s="5"/>
    </row>
    <row r="168" spans="1:11" ht="24">
      <c r="A168" s="4" t="s">
        <v>48</v>
      </c>
      <c r="B168" s="16" t="s">
        <v>48</v>
      </c>
      <c r="C168" s="4" t="s">
        <v>48</v>
      </c>
      <c r="D168" s="4" t="s">
        <v>48</v>
      </c>
      <c r="E168" s="17" t="s">
        <v>48</v>
      </c>
      <c r="F168" s="4">
        <v>1</v>
      </c>
      <c r="G168" s="17" t="s">
        <v>242</v>
      </c>
      <c r="H168" s="16" t="s">
        <v>48</v>
      </c>
      <c r="I168" s="4"/>
      <c r="J168" s="4"/>
      <c r="K168" s="5"/>
    </row>
    <row r="169" spans="1:11" ht="24">
      <c r="A169" s="4" t="s">
        <v>48</v>
      </c>
      <c r="B169" s="16" t="s">
        <v>48</v>
      </c>
      <c r="C169" s="4" t="s">
        <v>48</v>
      </c>
      <c r="D169" s="4" t="s">
        <v>48</v>
      </c>
      <c r="E169" s="17" t="s">
        <v>48</v>
      </c>
      <c r="F169" s="4">
        <v>2</v>
      </c>
      <c r="G169" s="17" t="s">
        <v>243</v>
      </c>
      <c r="H169" s="16" t="s">
        <v>48</v>
      </c>
      <c r="I169" s="4"/>
      <c r="J169" s="4"/>
      <c r="K169" s="5"/>
    </row>
    <row r="170" spans="1:11">
      <c r="A170" s="4" t="s">
        <v>48</v>
      </c>
      <c r="B170" s="16" t="s">
        <v>48</v>
      </c>
      <c r="C170" s="4" t="s">
        <v>48</v>
      </c>
      <c r="D170" s="4" t="s">
        <v>48</v>
      </c>
      <c r="E170" s="17" t="s">
        <v>48</v>
      </c>
      <c r="F170" s="4">
        <v>3</v>
      </c>
      <c r="G170" s="17" t="s">
        <v>244</v>
      </c>
      <c r="H170" s="16" t="s">
        <v>48</v>
      </c>
      <c r="I170" s="4"/>
      <c r="J170" s="4"/>
      <c r="K170" s="5"/>
    </row>
    <row r="171" spans="1:11">
      <c r="A171" s="4" t="s">
        <v>48</v>
      </c>
      <c r="B171" s="16" t="s">
        <v>48</v>
      </c>
      <c r="C171" s="4" t="s">
        <v>48</v>
      </c>
      <c r="D171" s="4" t="s">
        <v>60</v>
      </c>
      <c r="E171" s="17" t="s">
        <v>246</v>
      </c>
      <c r="F171" s="4" t="s">
        <v>48</v>
      </c>
      <c r="G171" s="17" t="s">
        <v>48</v>
      </c>
      <c r="H171" s="16" t="s">
        <v>48</v>
      </c>
      <c r="I171" s="4">
        <v>5</v>
      </c>
      <c r="J171" s="4"/>
      <c r="K171" s="5">
        <v>1</v>
      </c>
    </row>
    <row r="172" spans="1:11" ht="24">
      <c r="A172" s="4" t="s">
        <v>48</v>
      </c>
      <c r="B172" s="16" t="s">
        <v>48</v>
      </c>
      <c r="C172" s="4" t="s">
        <v>48</v>
      </c>
      <c r="D172" s="4" t="s">
        <v>48</v>
      </c>
      <c r="E172" s="17" t="s">
        <v>48</v>
      </c>
      <c r="F172" s="4">
        <v>0</v>
      </c>
      <c r="G172" s="17" t="s">
        <v>247</v>
      </c>
      <c r="H172" s="16" t="s">
        <v>48</v>
      </c>
      <c r="I172" s="4"/>
      <c r="J172" s="4"/>
      <c r="K172" s="5"/>
    </row>
    <row r="173" spans="1:11" ht="36">
      <c r="A173" s="4" t="s">
        <v>48</v>
      </c>
      <c r="B173" s="16" t="s">
        <v>48</v>
      </c>
      <c r="C173" s="4" t="s">
        <v>48</v>
      </c>
      <c r="D173" s="4" t="s">
        <v>48</v>
      </c>
      <c r="E173" s="17" t="s">
        <v>48</v>
      </c>
      <c r="F173" s="4">
        <v>1</v>
      </c>
      <c r="G173" s="17" t="s">
        <v>248</v>
      </c>
      <c r="H173" s="16" t="s">
        <v>48</v>
      </c>
      <c r="I173" s="4"/>
      <c r="J173" s="4"/>
      <c r="K173" s="5"/>
    </row>
    <row r="174" spans="1:11" ht="36">
      <c r="A174" s="4" t="s">
        <v>48</v>
      </c>
      <c r="B174" s="16" t="s">
        <v>48</v>
      </c>
      <c r="C174" s="4" t="s">
        <v>48</v>
      </c>
      <c r="D174" s="4" t="s">
        <v>48</v>
      </c>
      <c r="E174" s="17" t="s">
        <v>48</v>
      </c>
      <c r="F174" s="4">
        <v>2</v>
      </c>
      <c r="G174" s="17" t="s">
        <v>249</v>
      </c>
      <c r="H174" s="16" t="s">
        <v>48</v>
      </c>
      <c r="I174" s="4"/>
      <c r="J174" s="4"/>
      <c r="K174" s="5"/>
    </row>
    <row r="175" spans="1:11" ht="48">
      <c r="A175" s="4" t="s">
        <v>48</v>
      </c>
      <c r="B175" s="16" t="s">
        <v>48</v>
      </c>
      <c r="C175" s="4" t="s">
        <v>48</v>
      </c>
      <c r="D175" s="4" t="s">
        <v>48</v>
      </c>
      <c r="E175" s="17" t="s">
        <v>48</v>
      </c>
      <c r="F175" s="4">
        <v>3</v>
      </c>
      <c r="G175" s="17" t="s">
        <v>250</v>
      </c>
      <c r="H175" s="16" t="s">
        <v>48</v>
      </c>
      <c r="I175" s="4"/>
      <c r="J175" s="4"/>
      <c r="K175" s="5"/>
    </row>
    <row r="176" spans="1:11">
      <c r="A176" s="4" t="s">
        <v>48</v>
      </c>
      <c r="B176" s="16" t="s">
        <v>48</v>
      </c>
      <c r="C176" s="4" t="s">
        <v>48</v>
      </c>
      <c r="D176" s="4" t="s">
        <v>48</v>
      </c>
      <c r="E176" s="17" t="s">
        <v>48</v>
      </c>
      <c r="F176" s="4" t="s">
        <v>48</v>
      </c>
      <c r="G176" s="17" t="s">
        <v>48</v>
      </c>
      <c r="H176" s="16" t="s">
        <v>48</v>
      </c>
      <c r="I176" s="4"/>
      <c r="J176" s="4"/>
      <c r="K176" s="5"/>
    </row>
    <row r="177" spans="1:14">
      <c r="A177" s="4" t="s">
        <v>48</v>
      </c>
      <c r="B177" s="16" t="s">
        <v>48</v>
      </c>
      <c r="C177" s="4" t="s">
        <v>48</v>
      </c>
      <c r="D177" s="4" t="s">
        <v>48</v>
      </c>
      <c r="E177" s="17" t="s">
        <v>48</v>
      </c>
      <c r="F177" s="4" t="s">
        <v>48</v>
      </c>
      <c r="G177" s="17" t="s">
        <v>48</v>
      </c>
      <c r="H177" s="16" t="s">
        <v>48</v>
      </c>
      <c r="I177" s="4"/>
      <c r="J177" s="4"/>
      <c r="K177" s="5"/>
    </row>
    <row r="178" spans="1:14" ht="60">
      <c r="A178" s="12" t="s">
        <v>32</v>
      </c>
      <c r="B178" s="12" t="s">
        <v>33</v>
      </c>
      <c r="C178" s="12" t="s">
        <v>34</v>
      </c>
      <c r="D178" s="12" t="s">
        <v>35</v>
      </c>
      <c r="E178" s="12" t="s">
        <v>36</v>
      </c>
      <c r="F178" s="12" t="s">
        <v>37</v>
      </c>
      <c r="G178" s="12" t="s">
        <v>38</v>
      </c>
      <c r="H178" s="12" t="s">
        <v>39</v>
      </c>
      <c r="I178" s="12" t="s">
        <v>40</v>
      </c>
      <c r="J178" s="12" t="s">
        <v>41</v>
      </c>
      <c r="K178" s="12" t="s">
        <v>42</v>
      </c>
      <c r="L178" s="13" t="s">
        <v>251</v>
      </c>
      <c r="M178" s="14" t="s">
        <v>44</v>
      </c>
      <c r="N178" s="15">
        <f>SUM(K179:K227)</f>
        <v>12.75</v>
      </c>
    </row>
    <row r="179" spans="1:14">
      <c r="A179" s="4" t="s">
        <v>252</v>
      </c>
      <c r="B179" s="16" t="s">
        <v>253</v>
      </c>
      <c r="C179" s="4" t="s">
        <v>180</v>
      </c>
      <c r="D179" s="16" t="s">
        <v>48</v>
      </c>
      <c r="E179" s="17" t="s">
        <v>48</v>
      </c>
      <c r="F179" s="16" t="s">
        <v>48</v>
      </c>
      <c r="G179" s="17" t="s">
        <v>48</v>
      </c>
      <c r="H179" s="16" t="s">
        <v>48</v>
      </c>
      <c r="I179" s="16" t="s">
        <v>48</v>
      </c>
      <c r="J179" s="16" t="s">
        <v>48</v>
      </c>
      <c r="K179" s="16" t="s">
        <v>48</v>
      </c>
    </row>
    <row r="180" spans="1:14">
      <c r="A180" s="4" t="s">
        <v>48</v>
      </c>
      <c r="B180" s="16" t="s">
        <v>48</v>
      </c>
      <c r="C180" s="4" t="s">
        <v>48</v>
      </c>
      <c r="D180" s="4" t="s">
        <v>49</v>
      </c>
      <c r="E180" s="17" t="s">
        <v>87</v>
      </c>
      <c r="F180" s="4" t="s">
        <v>48</v>
      </c>
      <c r="G180" s="17" t="s">
        <v>254</v>
      </c>
      <c r="H180" s="16" t="s">
        <v>48</v>
      </c>
      <c r="I180" s="4">
        <v>2</v>
      </c>
      <c r="J180" s="4">
        <v>1</v>
      </c>
      <c r="K180" s="5">
        <v>0.25</v>
      </c>
    </row>
    <row r="181" spans="1:14">
      <c r="A181" s="4" t="s">
        <v>48</v>
      </c>
      <c r="B181" s="16" t="s">
        <v>48</v>
      </c>
      <c r="C181" s="4" t="s">
        <v>48</v>
      </c>
      <c r="D181" s="4" t="s">
        <v>49</v>
      </c>
      <c r="E181" s="17" t="s">
        <v>255</v>
      </c>
      <c r="F181" s="4" t="s">
        <v>48</v>
      </c>
      <c r="G181" s="17" t="s">
        <v>256</v>
      </c>
      <c r="H181" s="16" t="s">
        <v>48</v>
      </c>
      <c r="I181" s="4">
        <v>4</v>
      </c>
      <c r="J181" s="4">
        <v>2</v>
      </c>
      <c r="K181" s="5">
        <v>0.5</v>
      </c>
    </row>
    <row r="182" spans="1:14">
      <c r="A182" s="4" t="s">
        <v>48</v>
      </c>
      <c r="B182" s="16" t="s">
        <v>48</v>
      </c>
      <c r="C182" s="4" t="s">
        <v>48</v>
      </c>
      <c r="D182" s="4" t="s">
        <v>49</v>
      </c>
      <c r="E182" s="17" t="s">
        <v>257</v>
      </c>
      <c r="F182" s="4" t="s">
        <v>48</v>
      </c>
      <c r="G182" s="17" t="s">
        <v>256</v>
      </c>
      <c r="H182" s="16" t="s">
        <v>48</v>
      </c>
      <c r="I182" s="4">
        <v>4</v>
      </c>
      <c r="J182" s="4">
        <v>2</v>
      </c>
      <c r="K182" s="5">
        <v>0.5</v>
      </c>
    </row>
    <row r="183" spans="1:14">
      <c r="A183" s="4" t="s">
        <v>48</v>
      </c>
      <c r="B183" s="16" t="s">
        <v>48</v>
      </c>
      <c r="C183" s="4" t="s">
        <v>48</v>
      </c>
      <c r="D183" s="4" t="s">
        <v>49</v>
      </c>
      <c r="E183" s="17" t="s">
        <v>258</v>
      </c>
      <c r="F183" s="4" t="s">
        <v>48</v>
      </c>
      <c r="G183" s="17" t="s">
        <v>48</v>
      </c>
      <c r="H183" s="16" t="s">
        <v>48</v>
      </c>
      <c r="I183" s="4">
        <v>4</v>
      </c>
      <c r="J183" s="4">
        <v>1</v>
      </c>
      <c r="K183" s="5">
        <v>0.25</v>
      </c>
    </row>
    <row r="184" spans="1:14" ht="24">
      <c r="A184" s="4" t="s">
        <v>48</v>
      </c>
      <c r="B184" s="16" t="s">
        <v>48</v>
      </c>
      <c r="C184" s="4" t="s">
        <v>48</v>
      </c>
      <c r="D184" s="4" t="s">
        <v>49</v>
      </c>
      <c r="E184" s="17" t="s">
        <v>259</v>
      </c>
      <c r="F184" s="4" t="s">
        <v>48</v>
      </c>
      <c r="G184" s="17" t="s">
        <v>260</v>
      </c>
      <c r="H184" s="16" t="s">
        <v>48</v>
      </c>
      <c r="I184" s="4">
        <v>4</v>
      </c>
      <c r="J184" s="4">
        <v>2</v>
      </c>
      <c r="K184" s="5">
        <v>0.5</v>
      </c>
    </row>
    <row r="185" spans="1:14" ht="24">
      <c r="A185" s="4" t="s">
        <v>48</v>
      </c>
      <c r="B185" s="16" t="s">
        <v>48</v>
      </c>
      <c r="C185" s="4" t="s">
        <v>48</v>
      </c>
      <c r="D185" s="4" t="s">
        <v>49</v>
      </c>
      <c r="E185" s="17" t="s">
        <v>261</v>
      </c>
      <c r="F185" s="4" t="s">
        <v>48</v>
      </c>
      <c r="G185" s="17" t="s">
        <v>48</v>
      </c>
      <c r="H185" s="16" t="s">
        <v>48</v>
      </c>
      <c r="I185" s="4">
        <v>3</v>
      </c>
      <c r="J185" s="4">
        <v>1</v>
      </c>
      <c r="K185" s="5">
        <v>0.25</v>
      </c>
    </row>
    <row r="186" spans="1:14">
      <c r="A186" s="4" t="s">
        <v>48</v>
      </c>
      <c r="B186" s="16" t="s">
        <v>48</v>
      </c>
      <c r="C186" s="4" t="s">
        <v>48</v>
      </c>
      <c r="D186" s="4" t="s">
        <v>49</v>
      </c>
      <c r="E186" s="17" t="s">
        <v>262</v>
      </c>
      <c r="F186" s="4" t="s">
        <v>48</v>
      </c>
      <c r="G186" s="17" t="s">
        <v>48</v>
      </c>
      <c r="H186" s="16" t="s">
        <v>48</v>
      </c>
      <c r="I186" s="4">
        <v>3</v>
      </c>
      <c r="J186" s="4">
        <v>1</v>
      </c>
      <c r="K186" s="5">
        <v>0.25</v>
      </c>
    </row>
    <row r="187" spans="1:14">
      <c r="A187" s="4" t="s">
        <v>263</v>
      </c>
      <c r="B187" s="16" t="s">
        <v>264</v>
      </c>
      <c r="C187" s="4" t="s">
        <v>180</v>
      </c>
      <c r="D187" s="16" t="s">
        <v>48</v>
      </c>
      <c r="E187" s="17" t="s">
        <v>48</v>
      </c>
      <c r="F187" s="16" t="s">
        <v>48</v>
      </c>
      <c r="G187" s="17" t="s">
        <v>48</v>
      </c>
      <c r="H187" s="16" t="s">
        <v>48</v>
      </c>
      <c r="I187" s="16" t="s">
        <v>48</v>
      </c>
      <c r="J187" s="16" t="s">
        <v>48</v>
      </c>
      <c r="K187" s="16" t="s">
        <v>48</v>
      </c>
    </row>
    <row r="188" spans="1:14">
      <c r="A188" s="4" t="s">
        <v>48</v>
      </c>
      <c r="B188" s="16" t="s">
        <v>48</v>
      </c>
      <c r="C188" s="4" t="s">
        <v>48</v>
      </c>
      <c r="D188" s="4" t="s">
        <v>49</v>
      </c>
      <c r="E188" s="17" t="s">
        <v>265</v>
      </c>
      <c r="F188" s="4" t="s">
        <v>48</v>
      </c>
      <c r="G188" s="17" t="s">
        <v>266</v>
      </c>
      <c r="H188" s="16" t="s">
        <v>48</v>
      </c>
      <c r="I188" s="4">
        <v>4</v>
      </c>
      <c r="J188" s="4">
        <v>2</v>
      </c>
      <c r="K188" s="5">
        <v>0.5</v>
      </c>
    </row>
    <row r="189" spans="1:14">
      <c r="A189" s="4" t="s">
        <v>48</v>
      </c>
      <c r="B189" s="16" t="s">
        <v>48</v>
      </c>
      <c r="C189" s="4" t="s">
        <v>48</v>
      </c>
      <c r="D189" s="4" t="s">
        <v>49</v>
      </c>
      <c r="E189" s="17" t="s">
        <v>267</v>
      </c>
      <c r="F189" s="4" t="s">
        <v>48</v>
      </c>
      <c r="G189" s="17" t="s">
        <v>268</v>
      </c>
      <c r="H189" s="16" t="s">
        <v>48</v>
      </c>
      <c r="I189" s="4">
        <v>4</v>
      </c>
      <c r="J189" s="4">
        <v>2</v>
      </c>
      <c r="K189" s="5">
        <v>0.25</v>
      </c>
    </row>
    <row r="190" spans="1:14" ht="24">
      <c r="A190" s="4" t="s">
        <v>48</v>
      </c>
      <c r="B190" s="16" t="s">
        <v>48</v>
      </c>
      <c r="C190" s="4" t="s">
        <v>48</v>
      </c>
      <c r="D190" s="4" t="s">
        <v>49</v>
      </c>
      <c r="E190" s="17" t="s">
        <v>269</v>
      </c>
      <c r="F190" s="4" t="s">
        <v>48</v>
      </c>
      <c r="G190" s="17" t="s">
        <v>270</v>
      </c>
      <c r="H190" s="16" t="s">
        <v>48</v>
      </c>
      <c r="I190" s="4">
        <v>4</v>
      </c>
      <c r="J190" s="4">
        <v>1</v>
      </c>
      <c r="K190" s="5">
        <v>0.25</v>
      </c>
    </row>
    <row r="191" spans="1:14" ht="60">
      <c r="A191" s="4" t="s">
        <v>48</v>
      </c>
      <c r="B191" s="16" t="s">
        <v>48</v>
      </c>
      <c r="C191" s="4" t="s">
        <v>48</v>
      </c>
      <c r="D191" s="4" t="s">
        <v>49</v>
      </c>
      <c r="E191" s="17" t="s">
        <v>271</v>
      </c>
      <c r="F191" s="4" t="s">
        <v>48</v>
      </c>
      <c r="G191" s="17" t="s">
        <v>272</v>
      </c>
      <c r="H191" s="16" t="s">
        <v>48</v>
      </c>
      <c r="I191" s="4">
        <v>4</v>
      </c>
      <c r="J191" s="4">
        <v>1</v>
      </c>
      <c r="K191" s="5">
        <v>0.5</v>
      </c>
    </row>
    <row r="192" spans="1:14">
      <c r="A192" s="4" t="s">
        <v>48</v>
      </c>
      <c r="B192" s="16" t="s">
        <v>48</v>
      </c>
      <c r="C192" s="4" t="s">
        <v>48</v>
      </c>
      <c r="D192" s="4" t="s">
        <v>49</v>
      </c>
      <c r="E192" s="17" t="s">
        <v>273</v>
      </c>
      <c r="F192" s="4" t="s">
        <v>48</v>
      </c>
      <c r="G192" s="17" t="s">
        <v>48</v>
      </c>
      <c r="H192" s="16" t="s">
        <v>48</v>
      </c>
      <c r="I192" s="4">
        <v>4</v>
      </c>
      <c r="J192" s="4">
        <v>1</v>
      </c>
      <c r="K192" s="5">
        <v>0.25</v>
      </c>
    </row>
    <row r="193" spans="1:11">
      <c r="A193" s="4" t="s">
        <v>48</v>
      </c>
      <c r="B193" s="16" t="s">
        <v>48</v>
      </c>
      <c r="C193" s="4" t="s">
        <v>48</v>
      </c>
      <c r="D193" s="4" t="s">
        <v>49</v>
      </c>
      <c r="E193" s="17" t="s">
        <v>274</v>
      </c>
      <c r="F193" s="4" t="s">
        <v>48</v>
      </c>
      <c r="G193" s="17" t="s">
        <v>48</v>
      </c>
      <c r="H193" s="16" t="s">
        <v>48</v>
      </c>
      <c r="I193" s="4">
        <v>4</v>
      </c>
      <c r="J193" s="4">
        <v>1</v>
      </c>
      <c r="K193" s="5">
        <v>0.25</v>
      </c>
    </row>
    <row r="194" spans="1:11" ht="24">
      <c r="A194" s="4" t="s">
        <v>48</v>
      </c>
      <c r="B194" s="16" t="s">
        <v>48</v>
      </c>
      <c r="C194" s="4" t="s">
        <v>48</v>
      </c>
      <c r="D194" s="4" t="s">
        <v>49</v>
      </c>
      <c r="E194" s="17" t="s">
        <v>275</v>
      </c>
      <c r="F194" s="4" t="s">
        <v>48</v>
      </c>
      <c r="G194" s="17" t="s">
        <v>48</v>
      </c>
      <c r="H194" s="16" t="s">
        <v>48</v>
      </c>
      <c r="I194" s="4">
        <v>4</v>
      </c>
      <c r="J194" s="4">
        <v>1</v>
      </c>
      <c r="K194" s="5">
        <v>0.25</v>
      </c>
    </row>
    <row r="195" spans="1:11">
      <c r="A195" s="4" t="s">
        <v>48</v>
      </c>
      <c r="B195" s="16" t="s">
        <v>48</v>
      </c>
      <c r="C195" s="4" t="s">
        <v>48</v>
      </c>
      <c r="D195" s="4" t="s">
        <v>49</v>
      </c>
      <c r="E195" s="17" t="s">
        <v>276</v>
      </c>
      <c r="F195" s="4" t="s">
        <v>48</v>
      </c>
      <c r="G195" s="17" t="s">
        <v>48</v>
      </c>
      <c r="H195" s="16" t="s">
        <v>48</v>
      </c>
      <c r="I195" s="4">
        <v>4</v>
      </c>
      <c r="J195" s="4">
        <v>1</v>
      </c>
      <c r="K195" s="5">
        <v>0.25</v>
      </c>
    </row>
    <row r="196" spans="1:11">
      <c r="A196" s="4" t="s">
        <v>48</v>
      </c>
      <c r="B196" s="16" t="s">
        <v>48</v>
      </c>
      <c r="C196" s="4" t="s">
        <v>48</v>
      </c>
      <c r="D196" s="4" t="s">
        <v>49</v>
      </c>
      <c r="E196" s="17" t="s">
        <v>277</v>
      </c>
      <c r="F196" s="4" t="s">
        <v>48</v>
      </c>
      <c r="G196" s="17" t="s">
        <v>48</v>
      </c>
      <c r="H196" s="16" t="s">
        <v>48</v>
      </c>
      <c r="I196" s="4">
        <v>4</v>
      </c>
      <c r="J196" s="4">
        <v>1</v>
      </c>
      <c r="K196" s="5">
        <v>0.25</v>
      </c>
    </row>
    <row r="197" spans="1:11">
      <c r="A197" s="4" t="s">
        <v>48</v>
      </c>
      <c r="B197" s="16" t="s">
        <v>48</v>
      </c>
      <c r="C197" s="4" t="s">
        <v>48</v>
      </c>
      <c r="D197" s="4" t="s">
        <v>49</v>
      </c>
      <c r="E197" s="17" t="s">
        <v>278</v>
      </c>
      <c r="F197" s="4" t="s">
        <v>48</v>
      </c>
      <c r="G197" s="17" t="s">
        <v>279</v>
      </c>
      <c r="H197" s="16" t="s">
        <v>48</v>
      </c>
      <c r="I197" s="4">
        <v>4</v>
      </c>
      <c r="J197" s="4">
        <v>1</v>
      </c>
      <c r="K197" s="5">
        <v>0.25</v>
      </c>
    </row>
    <row r="198" spans="1:11">
      <c r="A198" s="4" t="s">
        <v>280</v>
      </c>
      <c r="B198" s="16" t="s">
        <v>281</v>
      </c>
      <c r="C198" s="4" t="s">
        <v>180</v>
      </c>
      <c r="D198" s="16" t="s">
        <v>48</v>
      </c>
      <c r="E198" s="17" t="s">
        <v>48</v>
      </c>
      <c r="F198" s="16" t="s">
        <v>48</v>
      </c>
      <c r="G198" s="17" t="s">
        <v>48</v>
      </c>
      <c r="H198" s="16" t="s">
        <v>48</v>
      </c>
      <c r="I198" s="16" t="s">
        <v>48</v>
      </c>
      <c r="J198" s="16" t="s">
        <v>48</v>
      </c>
      <c r="K198" s="16" t="s">
        <v>48</v>
      </c>
    </row>
    <row r="199" spans="1:11">
      <c r="A199" s="4" t="s">
        <v>48</v>
      </c>
      <c r="B199" s="16" t="s">
        <v>48</v>
      </c>
      <c r="C199" s="4" t="s">
        <v>48</v>
      </c>
      <c r="D199" s="4" t="s">
        <v>49</v>
      </c>
      <c r="E199" s="17" t="s">
        <v>282</v>
      </c>
      <c r="F199" s="4" t="s">
        <v>48</v>
      </c>
      <c r="G199" s="17" t="s">
        <v>266</v>
      </c>
      <c r="H199" s="16" t="s">
        <v>48</v>
      </c>
      <c r="I199" s="4">
        <v>4</v>
      </c>
      <c r="J199" s="4">
        <v>2</v>
      </c>
      <c r="K199" s="5">
        <v>0.5</v>
      </c>
    </row>
    <row r="200" spans="1:11">
      <c r="A200" s="4" t="s">
        <v>48</v>
      </c>
      <c r="B200" s="16" t="s">
        <v>48</v>
      </c>
      <c r="C200" s="4" t="s">
        <v>48</v>
      </c>
      <c r="D200" s="4" t="s">
        <v>49</v>
      </c>
      <c r="E200" s="17" t="s">
        <v>283</v>
      </c>
      <c r="F200" s="4" t="s">
        <v>48</v>
      </c>
      <c r="G200" s="17" t="s">
        <v>268</v>
      </c>
      <c r="H200" s="16" t="s">
        <v>48</v>
      </c>
      <c r="I200" s="4">
        <v>4</v>
      </c>
      <c r="J200" s="4">
        <v>2</v>
      </c>
      <c r="K200" s="5">
        <v>0.5</v>
      </c>
    </row>
    <row r="201" spans="1:11">
      <c r="A201" s="4" t="s">
        <v>48</v>
      </c>
      <c r="B201" s="16" t="s">
        <v>48</v>
      </c>
      <c r="C201" s="4" t="s">
        <v>48</v>
      </c>
      <c r="D201" s="4" t="s">
        <v>49</v>
      </c>
      <c r="E201" s="17" t="s">
        <v>284</v>
      </c>
      <c r="F201" s="4" t="s">
        <v>48</v>
      </c>
      <c r="G201" s="17" t="s">
        <v>48</v>
      </c>
      <c r="H201" s="16" t="s">
        <v>48</v>
      </c>
      <c r="I201" s="4">
        <v>4</v>
      </c>
      <c r="J201" s="4">
        <v>1</v>
      </c>
      <c r="K201" s="5">
        <v>0.5</v>
      </c>
    </row>
    <row r="202" spans="1:11">
      <c r="A202" s="4" t="s">
        <v>48</v>
      </c>
      <c r="B202" s="16" t="s">
        <v>48</v>
      </c>
      <c r="C202" s="4" t="s">
        <v>48</v>
      </c>
      <c r="D202" s="4" t="s">
        <v>49</v>
      </c>
      <c r="E202" s="17" t="s">
        <v>285</v>
      </c>
      <c r="F202" s="4" t="s">
        <v>48</v>
      </c>
      <c r="G202" s="17" t="s">
        <v>286</v>
      </c>
      <c r="H202" s="16" t="s">
        <v>48</v>
      </c>
      <c r="I202" s="4">
        <v>4</v>
      </c>
      <c r="J202" s="4">
        <v>1</v>
      </c>
      <c r="K202" s="5">
        <v>0.5</v>
      </c>
    </row>
    <row r="203" spans="1:11">
      <c r="A203" s="4" t="s">
        <v>48</v>
      </c>
      <c r="B203" s="16" t="s">
        <v>48</v>
      </c>
      <c r="C203" s="4" t="s">
        <v>48</v>
      </c>
      <c r="D203" s="4" t="s">
        <v>49</v>
      </c>
      <c r="E203" s="17" t="s">
        <v>287</v>
      </c>
      <c r="F203" s="4" t="s">
        <v>48</v>
      </c>
      <c r="G203" s="17" t="s">
        <v>48</v>
      </c>
      <c r="H203" s="16" t="s">
        <v>48</v>
      </c>
      <c r="I203" s="4">
        <v>4</v>
      </c>
      <c r="J203" s="4">
        <v>1</v>
      </c>
      <c r="K203" s="5">
        <v>0.25</v>
      </c>
    </row>
    <row r="204" spans="1:11">
      <c r="A204" s="4" t="s">
        <v>48</v>
      </c>
      <c r="B204" s="16" t="s">
        <v>48</v>
      </c>
      <c r="C204" s="4" t="s">
        <v>48</v>
      </c>
      <c r="D204" s="4" t="s">
        <v>49</v>
      </c>
      <c r="E204" s="17" t="s">
        <v>288</v>
      </c>
      <c r="F204" s="4" t="s">
        <v>48</v>
      </c>
      <c r="G204" s="17" t="s">
        <v>48</v>
      </c>
      <c r="H204" s="16" t="s">
        <v>48</v>
      </c>
      <c r="I204" s="4">
        <v>4</v>
      </c>
      <c r="J204" s="4">
        <v>1</v>
      </c>
      <c r="K204" s="5">
        <v>0.5</v>
      </c>
    </row>
    <row r="205" spans="1:11">
      <c r="A205" s="4" t="s">
        <v>48</v>
      </c>
      <c r="B205" s="16" t="s">
        <v>48</v>
      </c>
      <c r="C205" s="4" t="s">
        <v>48</v>
      </c>
      <c r="D205" s="4" t="s">
        <v>60</v>
      </c>
      <c r="E205" s="17" t="s">
        <v>289</v>
      </c>
      <c r="F205" s="4" t="s">
        <v>48</v>
      </c>
      <c r="G205" s="17" t="s">
        <v>48</v>
      </c>
      <c r="H205" s="16" t="s">
        <v>48</v>
      </c>
      <c r="I205" s="4">
        <v>4</v>
      </c>
      <c r="J205" s="4"/>
      <c r="K205" s="5">
        <v>0.5</v>
      </c>
    </row>
    <row r="206" spans="1:11">
      <c r="A206" s="4" t="s">
        <v>48</v>
      </c>
      <c r="B206" s="16" t="s">
        <v>48</v>
      </c>
      <c r="C206" s="4" t="s">
        <v>48</v>
      </c>
      <c r="D206" s="4" t="s">
        <v>48</v>
      </c>
      <c r="E206" s="17" t="s">
        <v>48</v>
      </c>
      <c r="F206" s="4">
        <v>0</v>
      </c>
      <c r="G206" s="17" t="s">
        <v>290</v>
      </c>
      <c r="H206" s="16" t="s">
        <v>48</v>
      </c>
      <c r="I206" s="4"/>
      <c r="J206" s="4"/>
      <c r="K206" s="5"/>
    </row>
    <row r="207" spans="1:11">
      <c r="A207" s="4" t="s">
        <v>48</v>
      </c>
      <c r="B207" s="16" t="s">
        <v>48</v>
      </c>
      <c r="C207" s="4" t="s">
        <v>48</v>
      </c>
      <c r="D207" s="4" t="s">
        <v>48</v>
      </c>
      <c r="E207" s="17" t="s">
        <v>48</v>
      </c>
      <c r="F207" s="4">
        <v>1</v>
      </c>
      <c r="G207" s="17" t="s">
        <v>291</v>
      </c>
      <c r="H207" s="16" t="s">
        <v>48</v>
      </c>
      <c r="I207" s="4"/>
      <c r="J207" s="4"/>
      <c r="K207" s="5"/>
    </row>
    <row r="208" spans="1:11" ht="24">
      <c r="A208" s="4" t="s">
        <v>48</v>
      </c>
      <c r="B208" s="16" t="s">
        <v>48</v>
      </c>
      <c r="C208" s="4" t="s">
        <v>48</v>
      </c>
      <c r="D208" s="4" t="s">
        <v>48</v>
      </c>
      <c r="E208" s="17" t="s">
        <v>48</v>
      </c>
      <c r="F208" s="4">
        <v>2</v>
      </c>
      <c r="G208" s="17" t="s">
        <v>292</v>
      </c>
      <c r="H208" s="16" t="s">
        <v>48</v>
      </c>
      <c r="I208" s="4"/>
      <c r="J208" s="4"/>
      <c r="K208" s="5"/>
    </row>
    <row r="209" spans="1:11" ht="36">
      <c r="A209" s="4" t="s">
        <v>48</v>
      </c>
      <c r="B209" s="16" t="s">
        <v>48</v>
      </c>
      <c r="C209" s="4" t="s">
        <v>48</v>
      </c>
      <c r="D209" s="4" t="s">
        <v>48</v>
      </c>
      <c r="E209" s="17" t="s">
        <v>48</v>
      </c>
      <c r="F209" s="4">
        <v>3</v>
      </c>
      <c r="G209" s="17" t="s">
        <v>293</v>
      </c>
      <c r="H209" s="16" t="s">
        <v>48</v>
      </c>
      <c r="I209" s="4"/>
      <c r="J209" s="4"/>
      <c r="K209" s="5"/>
    </row>
    <row r="210" spans="1:11">
      <c r="A210" s="4" t="s">
        <v>294</v>
      </c>
      <c r="B210" s="16" t="s">
        <v>295</v>
      </c>
      <c r="C210" s="4" t="s">
        <v>180</v>
      </c>
      <c r="D210" s="16" t="s">
        <v>48</v>
      </c>
      <c r="E210" s="17" t="s">
        <v>48</v>
      </c>
      <c r="F210" s="16" t="s">
        <v>48</v>
      </c>
      <c r="G210" s="17" t="s">
        <v>48</v>
      </c>
      <c r="H210" s="16" t="s">
        <v>48</v>
      </c>
      <c r="I210" s="16" t="s">
        <v>48</v>
      </c>
      <c r="J210" s="16" t="s">
        <v>48</v>
      </c>
      <c r="K210" s="16" t="s">
        <v>48</v>
      </c>
    </row>
    <row r="211" spans="1:11">
      <c r="A211" s="4" t="s">
        <v>48</v>
      </c>
      <c r="B211" s="16" t="s">
        <v>48</v>
      </c>
      <c r="C211" s="4" t="s">
        <v>48</v>
      </c>
      <c r="D211" s="4" t="s">
        <v>49</v>
      </c>
      <c r="E211" s="17" t="s">
        <v>296</v>
      </c>
      <c r="F211" s="4" t="s">
        <v>48</v>
      </c>
      <c r="G211" s="17" t="s">
        <v>297</v>
      </c>
      <c r="H211" s="16" t="s">
        <v>48</v>
      </c>
      <c r="I211" s="4">
        <v>4</v>
      </c>
      <c r="J211" s="4">
        <v>1</v>
      </c>
      <c r="K211" s="5">
        <v>0.25</v>
      </c>
    </row>
    <row r="212" spans="1:11">
      <c r="A212" s="4" t="s">
        <v>48</v>
      </c>
      <c r="B212" s="16" t="s">
        <v>48</v>
      </c>
      <c r="C212" s="4" t="s">
        <v>48</v>
      </c>
      <c r="D212" s="4" t="s">
        <v>49</v>
      </c>
      <c r="E212" s="17" t="s">
        <v>298</v>
      </c>
      <c r="F212" s="4" t="s">
        <v>48</v>
      </c>
      <c r="G212" s="17" t="s">
        <v>268</v>
      </c>
      <c r="H212" s="16" t="s">
        <v>48</v>
      </c>
      <c r="I212" s="4">
        <v>4</v>
      </c>
      <c r="J212" s="4">
        <v>2</v>
      </c>
      <c r="K212" s="5">
        <v>0.5</v>
      </c>
    </row>
    <row r="213" spans="1:11">
      <c r="A213" s="4" t="s">
        <v>48</v>
      </c>
      <c r="B213" s="16" t="s">
        <v>48</v>
      </c>
      <c r="C213" s="4" t="s">
        <v>48</v>
      </c>
      <c r="D213" s="4" t="s">
        <v>49</v>
      </c>
      <c r="E213" s="17" t="s">
        <v>299</v>
      </c>
      <c r="F213" s="4" t="s">
        <v>48</v>
      </c>
      <c r="G213" s="17" t="s">
        <v>300</v>
      </c>
      <c r="H213" s="16" t="s">
        <v>48</v>
      </c>
      <c r="I213" s="4">
        <v>3</v>
      </c>
      <c r="J213" s="4">
        <v>1</v>
      </c>
      <c r="K213" s="5">
        <v>0.25</v>
      </c>
    </row>
    <row r="214" spans="1:11">
      <c r="A214" s="4" t="s">
        <v>48</v>
      </c>
      <c r="B214" s="16" t="s">
        <v>48</v>
      </c>
      <c r="C214" s="4" t="s">
        <v>48</v>
      </c>
      <c r="D214" s="4" t="s">
        <v>49</v>
      </c>
      <c r="E214" s="17" t="s">
        <v>301</v>
      </c>
      <c r="F214" s="4" t="s">
        <v>48</v>
      </c>
      <c r="G214" s="17" t="s">
        <v>48</v>
      </c>
      <c r="H214" s="16" t="s">
        <v>48</v>
      </c>
      <c r="I214" s="4">
        <v>3</v>
      </c>
      <c r="J214" s="4">
        <v>1</v>
      </c>
      <c r="K214" s="5">
        <v>0.5</v>
      </c>
    </row>
    <row r="215" spans="1:11">
      <c r="A215" s="4" t="s">
        <v>48</v>
      </c>
      <c r="B215" s="16" t="s">
        <v>48</v>
      </c>
      <c r="C215" s="4" t="s">
        <v>48</v>
      </c>
      <c r="D215" s="4" t="s">
        <v>49</v>
      </c>
      <c r="E215" s="17" t="s">
        <v>302</v>
      </c>
      <c r="F215" s="4" t="s">
        <v>48</v>
      </c>
      <c r="G215" s="17" t="s">
        <v>48</v>
      </c>
      <c r="H215" s="16" t="s">
        <v>48</v>
      </c>
      <c r="I215" s="4">
        <v>3</v>
      </c>
      <c r="J215" s="4">
        <v>1</v>
      </c>
      <c r="K215" s="5">
        <v>0.25</v>
      </c>
    </row>
    <row r="216" spans="1:11">
      <c r="A216" s="4" t="s">
        <v>303</v>
      </c>
      <c r="B216" s="16" t="s">
        <v>304</v>
      </c>
      <c r="C216" s="4" t="s">
        <v>180</v>
      </c>
      <c r="D216" s="16" t="s">
        <v>48</v>
      </c>
      <c r="E216" s="17" t="s">
        <v>48</v>
      </c>
      <c r="F216" s="16" t="s">
        <v>48</v>
      </c>
      <c r="G216" s="17" t="s">
        <v>48</v>
      </c>
      <c r="H216" s="16" t="s">
        <v>48</v>
      </c>
      <c r="I216" s="16" t="s">
        <v>48</v>
      </c>
      <c r="J216" s="16" t="s">
        <v>48</v>
      </c>
      <c r="K216" s="16" t="s">
        <v>48</v>
      </c>
    </row>
    <row r="217" spans="1:11">
      <c r="A217" s="4" t="s">
        <v>48</v>
      </c>
      <c r="B217" s="16" t="s">
        <v>48</v>
      </c>
      <c r="C217" s="4" t="s">
        <v>48</v>
      </c>
      <c r="D217" s="4" t="s">
        <v>49</v>
      </c>
      <c r="E217" s="17" t="s">
        <v>305</v>
      </c>
      <c r="F217" s="4" t="s">
        <v>48</v>
      </c>
      <c r="G217" s="17" t="s">
        <v>48</v>
      </c>
      <c r="H217" s="16" t="s">
        <v>48</v>
      </c>
      <c r="I217" s="4">
        <v>3</v>
      </c>
      <c r="J217" s="4">
        <v>1</v>
      </c>
      <c r="K217" s="5">
        <v>0.25</v>
      </c>
    </row>
    <row r="218" spans="1:11">
      <c r="A218" s="4" t="s">
        <v>48</v>
      </c>
      <c r="B218" s="16" t="s">
        <v>48</v>
      </c>
      <c r="C218" s="4" t="s">
        <v>48</v>
      </c>
      <c r="D218" s="4" t="s">
        <v>49</v>
      </c>
      <c r="E218" s="17" t="s">
        <v>306</v>
      </c>
      <c r="F218" s="4" t="s">
        <v>48</v>
      </c>
      <c r="G218" s="17" t="s">
        <v>48</v>
      </c>
      <c r="H218" s="16" t="s">
        <v>48</v>
      </c>
      <c r="I218" s="4">
        <v>3</v>
      </c>
      <c r="J218" s="4">
        <v>1</v>
      </c>
      <c r="K218" s="5">
        <v>0.25</v>
      </c>
    </row>
    <row r="219" spans="1:11">
      <c r="A219" s="4" t="s">
        <v>48</v>
      </c>
      <c r="B219" s="16" t="s">
        <v>48</v>
      </c>
      <c r="C219" s="4" t="s">
        <v>48</v>
      </c>
      <c r="D219" s="4" t="s">
        <v>49</v>
      </c>
      <c r="E219" s="17" t="s">
        <v>307</v>
      </c>
      <c r="F219" s="4" t="s">
        <v>48</v>
      </c>
      <c r="G219" s="17" t="s">
        <v>48</v>
      </c>
      <c r="H219" s="16" t="s">
        <v>48</v>
      </c>
      <c r="I219" s="4">
        <v>3</v>
      </c>
      <c r="J219" s="4">
        <v>1</v>
      </c>
      <c r="K219" s="5">
        <v>0.25</v>
      </c>
    </row>
    <row r="220" spans="1:11" ht="24">
      <c r="A220" s="4" t="s">
        <v>48</v>
      </c>
      <c r="B220" s="16" t="s">
        <v>48</v>
      </c>
      <c r="C220" s="4" t="s">
        <v>48</v>
      </c>
      <c r="D220" s="4" t="s">
        <v>49</v>
      </c>
      <c r="E220" s="17" t="s">
        <v>308</v>
      </c>
      <c r="F220" s="4" t="s">
        <v>48</v>
      </c>
      <c r="G220" s="17" t="s">
        <v>309</v>
      </c>
      <c r="H220" s="16" t="s">
        <v>48</v>
      </c>
      <c r="I220" s="4">
        <v>4</v>
      </c>
      <c r="J220" s="4">
        <v>2</v>
      </c>
      <c r="K220" s="5">
        <v>1</v>
      </c>
    </row>
    <row r="221" spans="1:11">
      <c r="A221" s="4" t="s">
        <v>48</v>
      </c>
      <c r="B221" s="16" t="s">
        <v>48</v>
      </c>
      <c r="C221" s="4" t="s">
        <v>48</v>
      </c>
      <c r="D221" s="4" t="s">
        <v>60</v>
      </c>
      <c r="E221" s="17" t="s">
        <v>310</v>
      </c>
      <c r="F221" s="4" t="s">
        <v>48</v>
      </c>
      <c r="G221" s="17" t="s">
        <v>48</v>
      </c>
      <c r="H221" s="16" t="s">
        <v>48</v>
      </c>
      <c r="I221" s="4">
        <v>4</v>
      </c>
      <c r="J221" s="4"/>
      <c r="K221" s="5">
        <v>0.5</v>
      </c>
    </row>
    <row r="222" spans="1:11" ht="24">
      <c r="A222" s="4" t="s">
        <v>48</v>
      </c>
      <c r="B222" s="16" t="s">
        <v>48</v>
      </c>
      <c r="C222" s="4" t="s">
        <v>48</v>
      </c>
      <c r="D222" s="4" t="s">
        <v>48</v>
      </c>
      <c r="E222" s="17" t="s">
        <v>48</v>
      </c>
      <c r="F222" s="4">
        <v>0</v>
      </c>
      <c r="G222" s="17" t="s">
        <v>311</v>
      </c>
      <c r="H222" s="16" t="s">
        <v>48</v>
      </c>
      <c r="I222" s="4"/>
      <c r="J222" s="4"/>
      <c r="K222" s="5"/>
    </row>
    <row r="223" spans="1:11" ht="24">
      <c r="A223" s="4" t="s">
        <v>48</v>
      </c>
      <c r="B223" s="16" t="s">
        <v>48</v>
      </c>
      <c r="C223" s="4" t="s">
        <v>48</v>
      </c>
      <c r="D223" s="4" t="s">
        <v>48</v>
      </c>
      <c r="E223" s="17" t="s">
        <v>48</v>
      </c>
      <c r="F223" s="4">
        <v>1</v>
      </c>
      <c r="G223" s="17" t="s">
        <v>312</v>
      </c>
      <c r="H223" s="16" t="s">
        <v>48</v>
      </c>
      <c r="I223" s="4"/>
      <c r="J223" s="4"/>
      <c r="K223" s="5"/>
    </row>
    <row r="224" spans="1:11" ht="48">
      <c r="A224" s="4" t="s">
        <v>48</v>
      </c>
      <c r="B224" s="16" t="s">
        <v>48</v>
      </c>
      <c r="C224" s="4" t="s">
        <v>48</v>
      </c>
      <c r="D224" s="4" t="s">
        <v>48</v>
      </c>
      <c r="E224" s="17" t="s">
        <v>48</v>
      </c>
      <c r="F224" s="4">
        <v>2</v>
      </c>
      <c r="G224" s="17" t="s">
        <v>313</v>
      </c>
      <c r="H224" s="16" t="s">
        <v>48</v>
      </c>
      <c r="I224" s="4"/>
      <c r="J224" s="4"/>
      <c r="K224" s="5"/>
    </row>
    <row r="225" spans="1:14" ht="48">
      <c r="A225" s="4" t="s">
        <v>48</v>
      </c>
      <c r="B225" s="16" t="s">
        <v>48</v>
      </c>
      <c r="C225" s="4" t="s">
        <v>48</v>
      </c>
      <c r="D225" s="4" t="s">
        <v>48</v>
      </c>
      <c r="E225" s="17" t="s">
        <v>48</v>
      </c>
      <c r="F225" s="4">
        <v>3</v>
      </c>
      <c r="G225" s="17" t="s">
        <v>314</v>
      </c>
      <c r="H225" s="16" t="s">
        <v>48</v>
      </c>
      <c r="I225" s="4"/>
      <c r="J225" s="4"/>
      <c r="K225" s="5"/>
    </row>
    <row r="226" spans="1:14">
      <c r="A226" s="4" t="s">
        <v>48</v>
      </c>
      <c r="B226" s="16" t="s">
        <v>48</v>
      </c>
      <c r="C226" s="4" t="s">
        <v>48</v>
      </c>
      <c r="D226" s="4" t="s">
        <v>48</v>
      </c>
      <c r="E226" s="17" t="s">
        <v>48</v>
      </c>
      <c r="F226" s="4" t="s">
        <v>48</v>
      </c>
      <c r="G226" s="17" t="s">
        <v>48</v>
      </c>
      <c r="H226" s="16" t="s">
        <v>48</v>
      </c>
      <c r="I226" s="4"/>
      <c r="J226" s="4"/>
      <c r="K226" s="5"/>
    </row>
    <row r="227" spans="1:14">
      <c r="A227" s="4" t="s">
        <v>48</v>
      </c>
      <c r="B227" s="16" t="s">
        <v>48</v>
      </c>
      <c r="C227" s="4" t="s">
        <v>48</v>
      </c>
      <c r="D227" s="4" t="s">
        <v>48</v>
      </c>
      <c r="E227" s="17" t="s">
        <v>48</v>
      </c>
      <c r="F227" s="4" t="s">
        <v>48</v>
      </c>
      <c r="G227" s="17" t="s">
        <v>48</v>
      </c>
      <c r="H227" s="16" t="s">
        <v>48</v>
      </c>
      <c r="I227" s="4"/>
      <c r="J227" s="4"/>
      <c r="K227" s="5"/>
    </row>
    <row r="228" spans="1:14" ht="60">
      <c r="A228" s="12" t="s">
        <v>32</v>
      </c>
      <c r="B228" s="12" t="s">
        <v>33</v>
      </c>
      <c r="C228" s="12" t="s">
        <v>34</v>
      </c>
      <c r="D228" s="12" t="s">
        <v>35</v>
      </c>
      <c r="E228" s="12" t="s">
        <v>36</v>
      </c>
      <c r="F228" s="12" t="s">
        <v>37</v>
      </c>
      <c r="G228" s="12" t="s">
        <v>38</v>
      </c>
      <c r="H228" s="12" t="s">
        <v>39</v>
      </c>
      <c r="I228" s="12" t="s">
        <v>40</v>
      </c>
      <c r="J228" s="12" t="s">
        <v>41</v>
      </c>
      <c r="K228" s="12" t="s">
        <v>42</v>
      </c>
      <c r="L228" s="13" t="s">
        <v>315</v>
      </c>
      <c r="M228" s="14" t="s">
        <v>44</v>
      </c>
      <c r="N228" s="15">
        <f>SUM(K229:K275)</f>
        <v>17</v>
      </c>
    </row>
    <row r="229" spans="1:14">
      <c r="A229" s="4" t="s">
        <v>316</v>
      </c>
      <c r="B229" s="16" t="s">
        <v>317</v>
      </c>
      <c r="C229" s="4" t="s">
        <v>318</v>
      </c>
      <c r="D229" s="16" t="s">
        <v>48</v>
      </c>
      <c r="E229" s="17" t="s">
        <v>48</v>
      </c>
      <c r="F229" s="16" t="s">
        <v>48</v>
      </c>
      <c r="G229" s="17" t="s">
        <v>48</v>
      </c>
      <c r="H229" s="16" t="s">
        <v>48</v>
      </c>
      <c r="I229" s="16" t="s">
        <v>48</v>
      </c>
      <c r="J229" s="16" t="s">
        <v>48</v>
      </c>
      <c r="K229" s="16" t="s">
        <v>48</v>
      </c>
    </row>
    <row r="230" spans="1:14">
      <c r="A230" s="4" t="s">
        <v>48</v>
      </c>
      <c r="B230" s="16" t="s">
        <v>48</v>
      </c>
      <c r="C230" s="4" t="s">
        <v>48</v>
      </c>
      <c r="D230" s="4" t="s">
        <v>49</v>
      </c>
      <c r="E230" s="17" t="s">
        <v>319</v>
      </c>
      <c r="F230" s="4" t="s">
        <v>48</v>
      </c>
      <c r="G230" s="17" t="s">
        <v>320</v>
      </c>
      <c r="H230" s="16" t="s">
        <v>48</v>
      </c>
      <c r="I230" s="4">
        <v>2</v>
      </c>
      <c r="J230" s="4">
        <v>1</v>
      </c>
      <c r="K230" s="5">
        <v>0.25</v>
      </c>
    </row>
    <row r="231" spans="1:14">
      <c r="A231" s="4" t="s">
        <v>48</v>
      </c>
      <c r="B231" s="16" t="s">
        <v>48</v>
      </c>
      <c r="C231" s="4" t="s">
        <v>48</v>
      </c>
      <c r="D231" s="4" t="s">
        <v>49</v>
      </c>
      <c r="E231" s="17" t="s">
        <v>321</v>
      </c>
      <c r="F231" s="4" t="s">
        <v>48</v>
      </c>
      <c r="G231" s="17" t="s">
        <v>48</v>
      </c>
      <c r="H231" s="16" t="s">
        <v>48</v>
      </c>
      <c r="I231" s="4">
        <v>4</v>
      </c>
      <c r="J231" s="4">
        <v>1</v>
      </c>
      <c r="K231" s="5">
        <v>0.5</v>
      </c>
    </row>
    <row r="232" spans="1:14">
      <c r="A232" s="4" t="s">
        <v>48</v>
      </c>
      <c r="B232" s="16" t="s">
        <v>48</v>
      </c>
      <c r="C232" s="4" t="s">
        <v>48</v>
      </c>
      <c r="D232" s="4" t="s">
        <v>49</v>
      </c>
      <c r="E232" s="17" t="s">
        <v>322</v>
      </c>
      <c r="F232" s="4" t="s">
        <v>48</v>
      </c>
      <c r="G232" s="17" t="s">
        <v>48</v>
      </c>
      <c r="H232" s="16" t="s">
        <v>48</v>
      </c>
      <c r="I232" s="4">
        <v>4</v>
      </c>
      <c r="J232" s="4">
        <v>1</v>
      </c>
      <c r="K232" s="5">
        <v>1</v>
      </c>
    </row>
    <row r="233" spans="1:14">
      <c r="A233" s="4" t="s">
        <v>48</v>
      </c>
      <c r="B233" s="16" t="s">
        <v>48</v>
      </c>
      <c r="C233" s="4" t="s">
        <v>48</v>
      </c>
      <c r="D233" s="4" t="s">
        <v>49</v>
      </c>
      <c r="E233" s="17" t="s">
        <v>323</v>
      </c>
      <c r="F233" s="4" t="s">
        <v>48</v>
      </c>
      <c r="G233" s="17" t="s">
        <v>48</v>
      </c>
      <c r="H233" s="16" t="s">
        <v>48</v>
      </c>
      <c r="I233" s="4">
        <v>4</v>
      </c>
      <c r="J233" s="4">
        <v>1</v>
      </c>
      <c r="K233" s="5">
        <v>0.5</v>
      </c>
    </row>
    <row r="234" spans="1:14">
      <c r="A234" s="4" t="s">
        <v>48</v>
      </c>
      <c r="B234" s="16" t="s">
        <v>48</v>
      </c>
      <c r="C234" s="4" t="s">
        <v>48</v>
      </c>
      <c r="D234" s="4" t="s">
        <v>49</v>
      </c>
      <c r="E234" s="17" t="s">
        <v>324</v>
      </c>
      <c r="F234" s="4" t="s">
        <v>48</v>
      </c>
      <c r="G234" s="17" t="s">
        <v>325</v>
      </c>
      <c r="H234" s="16" t="s">
        <v>48</v>
      </c>
      <c r="I234" s="4">
        <v>4</v>
      </c>
      <c r="J234" s="4">
        <v>1</v>
      </c>
      <c r="K234" s="5">
        <v>0.5</v>
      </c>
    </row>
    <row r="235" spans="1:14">
      <c r="A235" s="4" t="s">
        <v>326</v>
      </c>
      <c r="B235" s="16" t="s">
        <v>327</v>
      </c>
      <c r="C235" s="4" t="s">
        <v>318</v>
      </c>
      <c r="D235" s="16" t="s">
        <v>48</v>
      </c>
      <c r="E235" s="17" t="s">
        <v>48</v>
      </c>
      <c r="F235" s="16" t="s">
        <v>48</v>
      </c>
      <c r="G235" s="17" t="s">
        <v>48</v>
      </c>
      <c r="H235" s="16" t="s">
        <v>48</v>
      </c>
      <c r="I235" s="16" t="s">
        <v>48</v>
      </c>
      <c r="J235" s="16" t="s">
        <v>48</v>
      </c>
      <c r="K235" s="16" t="s">
        <v>48</v>
      </c>
    </row>
    <row r="236" spans="1:14">
      <c r="A236" s="4" t="s">
        <v>48</v>
      </c>
      <c r="B236" s="16" t="s">
        <v>48</v>
      </c>
      <c r="C236" s="4" t="s">
        <v>48</v>
      </c>
      <c r="D236" s="4" t="s">
        <v>49</v>
      </c>
      <c r="E236" s="17" t="s">
        <v>328</v>
      </c>
      <c r="F236" s="4" t="s">
        <v>48</v>
      </c>
      <c r="G236" s="17" t="s">
        <v>329</v>
      </c>
      <c r="H236" s="16" t="s">
        <v>48</v>
      </c>
      <c r="I236" s="4">
        <v>4</v>
      </c>
      <c r="J236" s="4">
        <v>1</v>
      </c>
      <c r="K236" s="5">
        <v>0.5</v>
      </c>
    </row>
    <row r="237" spans="1:14">
      <c r="A237" s="4" t="s">
        <v>48</v>
      </c>
      <c r="B237" s="16" t="s">
        <v>48</v>
      </c>
      <c r="C237" s="4" t="s">
        <v>48</v>
      </c>
      <c r="D237" s="4" t="s">
        <v>49</v>
      </c>
      <c r="E237" s="17" t="s">
        <v>330</v>
      </c>
      <c r="F237" s="4" t="s">
        <v>48</v>
      </c>
      <c r="G237" s="17" t="s">
        <v>48</v>
      </c>
      <c r="H237" s="16" t="s">
        <v>48</v>
      </c>
      <c r="I237" s="4">
        <v>4</v>
      </c>
      <c r="J237" s="4">
        <v>1</v>
      </c>
      <c r="K237" s="5">
        <v>0.5</v>
      </c>
    </row>
    <row r="238" spans="1:14">
      <c r="A238" s="4" t="s">
        <v>48</v>
      </c>
      <c r="B238" s="16" t="s">
        <v>48</v>
      </c>
      <c r="C238" s="4" t="s">
        <v>48</v>
      </c>
      <c r="D238" s="4" t="s">
        <v>49</v>
      </c>
      <c r="E238" s="17" t="s">
        <v>331</v>
      </c>
      <c r="F238" s="4" t="s">
        <v>48</v>
      </c>
      <c r="G238" s="17" t="s">
        <v>48</v>
      </c>
      <c r="H238" s="16" t="s">
        <v>48</v>
      </c>
      <c r="I238" s="4">
        <v>4</v>
      </c>
      <c r="J238" s="4">
        <v>1</v>
      </c>
      <c r="K238" s="5">
        <v>0.5</v>
      </c>
    </row>
    <row r="239" spans="1:14">
      <c r="A239" s="4" t="s">
        <v>332</v>
      </c>
      <c r="B239" s="16" t="s">
        <v>333</v>
      </c>
      <c r="C239" s="4" t="s">
        <v>318</v>
      </c>
      <c r="D239" s="16" t="s">
        <v>48</v>
      </c>
      <c r="E239" s="17" t="s">
        <v>48</v>
      </c>
      <c r="F239" s="16" t="s">
        <v>48</v>
      </c>
      <c r="G239" s="17" t="s">
        <v>48</v>
      </c>
      <c r="H239" s="16" t="s">
        <v>48</v>
      </c>
      <c r="I239" s="16" t="s">
        <v>48</v>
      </c>
      <c r="J239" s="16" t="s">
        <v>48</v>
      </c>
      <c r="K239" s="16" t="s">
        <v>48</v>
      </c>
    </row>
    <row r="240" spans="1:14" ht="36">
      <c r="A240" s="4" t="s">
        <v>48</v>
      </c>
      <c r="B240" s="16" t="s">
        <v>48</v>
      </c>
      <c r="C240" s="4" t="s">
        <v>48</v>
      </c>
      <c r="D240" s="4" t="s">
        <v>49</v>
      </c>
      <c r="E240" s="17" t="s">
        <v>334</v>
      </c>
      <c r="F240" s="4" t="s">
        <v>48</v>
      </c>
      <c r="G240" s="17" t="s">
        <v>335</v>
      </c>
      <c r="H240" s="16" t="s">
        <v>48</v>
      </c>
      <c r="I240" s="4">
        <v>3</v>
      </c>
      <c r="J240" s="4">
        <v>1</v>
      </c>
      <c r="K240" s="5">
        <v>0.5</v>
      </c>
    </row>
    <row r="241" spans="1:11">
      <c r="A241" s="4" t="s">
        <v>48</v>
      </c>
      <c r="B241" s="16" t="s">
        <v>48</v>
      </c>
      <c r="C241" s="4" t="s">
        <v>48</v>
      </c>
      <c r="D241" s="4" t="s">
        <v>49</v>
      </c>
      <c r="E241" s="17" t="s">
        <v>336</v>
      </c>
      <c r="F241" s="4" t="s">
        <v>48</v>
      </c>
      <c r="G241" s="17" t="s">
        <v>48</v>
      </c>
      <c r="H241" s="16" t="s">
        <v>48</v>
      </c>
      <c r="I241" s="4">
        <v>4</v>
      </c>
      <c r="J241" s="4">
        <v>1</v>
      </c>
      <c r="K241" s="5">
        <v>0.25</v>
      </c>
    </row>
    <row r="242" spans="1:11">
      <c r="A242" s="4" t="s">
        <v>48</v>
      </c>
      <c r="B242" s="16" t="s">
        <v>48</v>
      </c>
      <c r="C242" s="4" t="s">
        <v>48</v>
      </c>
      <c r="D242" s="4" t="s">
        <v>49</v>
      </c>
      <c r="E242" s="17" t="s">
        <v>337</v>
      </c>
      <c r="F242" s="4" t="s">
        <v>48</v>
      </c>
      <c r="G242" s="17" t="s">
        <v>48</v>
      </c>
      <c r="H242" s="16" t="s">
        <v>48</v>
      </c>
      <c r="I242" s="4">
        <v>4</v>
      </c>
      <c r="J242" s="4">
        <v>1</v>
      </c>
      <c r="K242" s="5">
        <v>0.5</v>
      </c>
    </row>
    <row r="243" spans="1:11">
      <c r="A243" s="4" t="s">
        <v>48</v>
      </c>
      <c r="B243" s="16" t="s">
        <v>48</v>
      </c>
      <c r="C243" s="4" t="s">
        <v>48</v>
      </c>
      <c r="D243" s="4" t="s">
        <v>49</v>
      </c>
      <c r="E243" s="17" t="s">
        <v>338</v>
      </c>
      <c r="F243" s="4" t="s">
        <v>48</v>
      </c>
      <c r="G243" s="17" t="s">
        <v>339</v>
      </c>
      <c r="H243" s="16" t="s">
        <v>48</v>
      </c>
      <c r="I243" s="4">
        <v>4</v>
      </c>
      <c r="J243" s="4">
        <v>1</v>
      </c>
      <c r="K243" s="5">
        <v>0.5</v>
      </c>
    </row>
    <row r="244" spans="1:11">
      <c r="A244" s="4" t="s">
        <v>48</v>
      </c>
      <c r="B244" s="16" t="s">
        <v>48</v>
      </c>
      <c r="C244" s="4" t="s">
        <v>48</v>
      </c>
      <c r="D244" s="4" t="s">
        <v>49</v>
      </c>
      <c r="E244" s="17" t="s">
        <v>340</v>
      </c>
      <c r="F244" s="4" t="s">
        <v>48</v>
      </c>
      <c r="G244" s="17" t="s">
        <v>48</v>
      </c>
      <c r="H244" s="16" t="s">
        <v>48</v>
      </c>
      <c r="I244" s="4">
        <v>4</v>
      </c>
      <c r="J244" s="4">
        <v>1</v>
      </c>
      <c r="K244" s="5">
        <v>0.5</v>
      </c>
    </row>
    <row r="245" spans="1:11">
      <c r="A245" s="4" t="s">
        <v>48</v>
      </c>
      <c r="B245" s="16" t="s">
        <v>48</v>
      </c>
      <c r="C245" s="4" t="s">
        <v>48</v>
      </c>
      <c r="D245" s="4" t="s">
        <v>49</v>
      </c>
      <c r="E245" s="17" t="s">
        <v>341</v>
      </c>
      <c r="F245" s="4" t="s">
        <v>48</v>
      </c>
      <c r="G245" s="17" t="s">
        <v>48</v>
      </c>
      <c r="H245" s="16" t="s">
        <v>48</v>
      </c>
      <c r="I245" s="4">
        <v>4</v>
      </c>
      <c r="J245" s="4">
        <v>1</v>
      </c>
      <c r="K245" s="5">
        <v>0.25</v>
      </c>
    </row>
    <row r="246" spans="1:11">
      <c r="A246" s="4" t="s">
        <v>342</v>
      </c>
      <c r="B246" s="16" t="s">
        <v>343</v>
      </c>
      <c r="C246" s="4" t="s">
        <v>318</v>
      </c>
      <c r="D246" s="16" t="s">
        <v>48</v>
      </c>
      <c r="E246" s="17" t="s">
        <v>48</v>
      </c>
      <c r="F246" s="16" t="s">
        <v>48</v>
      </c>
      <c r="G246" s="17" t="s">
        <v>48</v>
      </c>
      <c r="H246" s="16" t="s">
        <v>48</v>
      </c>
      <c r="I246" s="16" t="s">
        <v>48</v>
      </c>
      <c r="J246" s="16" t="s">
        <v>48</v>
      </c>
      <c r="K246" s="16" t="s">
        <v>48</v>
      </c>
    </row>
    <row r="247" spans="1:11">
      <c r="A247" s="4" t="s">
        <v>48</v>
      </c>
      <c r="B247" s="16" t="s">
        <v>48</v>
      </c>
      <c r="C247" s="4" t="s">
        <v>48</v>
      </c>
      <c r="D247" s="4" t="s">
        <v>49</v>
      </c>
      <c r="E247" s="17" t="s">
        <v>344</v>
      </c>
      <c r="F247" s="4" t="s">
        <v>48</v>
      </c>
      <c r="G247" s="17" t="s">
        <v>345</v>
      </c>
      <c r="H247" s="16" t="s">
        <v>48</v>
      </c>
      <c r="I247" s="4">
        <v>4</v>
      </c>
      <c r="J247" s="4">
        <v>1</v>
      </c>
      <c r="K247" s="5">
        <v>0.25</v>
      </c>
    </row>
    <row r="248" spans="1:11" ht="24">
      <c r="A248" s="4" t="s">
        <v>48</v>
      </c>
      <c r="B248" s="16" t="s">
        <v>48</v>
      </c>
      <c r="C248" s="4" t="s">
        <v>48</v>
      </c>
      <c r="D248" s="4" t="s">
        <v>49</v>
      </c>
      <c r="E248" s="17" t="s">
        <v>346</v>
      </c>
      <c r="F248" s="4" t="s">
        <v>48</v>
      </c>
      <c r="G248" s="17" t="s">
        <v>347</v>
      </c>
      <c r="H248" s="16" t="s">
        <v>48</v>
      </c>
      <c r="I248" s="4">
        <v>4</v>
      </c>
      <c r="J248" s="4">
        <v>1</v>
      </c>
      <c r="K248" s="5">
        <v>0.25</v>
      </c>
    </row>
    <row r="249" spans="1:11" ht="36">
      <c r="A249" s="4" t="s">
        <v>48</v>
      </c>
      <c r="B249" s="16" t="s">
        <v>48</v>
      </c>
      <c r="C249" s="4" t="s">
        <v>48</v>
      </c>
      <c r="D249" s="4" t="s">
        <v>49</v>
      </c>
      <c r="E249" s="17" t="s">
        <v>348</v>
      </c>
      <c r="F249" s="4" t="s">
        <v>48</v>
      </c>
      <c r="G249" s="17" t="s">
        <v>349</v>
      </c>
      <c r="H249" s="16" t="s">
        <v>48</v>
      </c>
      <c r="I249" s="4">
        <v>3</v>
      </c>
      <c r="J249" s="4">
        <v>2</v>
      </c>
      <c r="K249" s="5">
        <v>0.5</v>
      </c>
    </row>
    <row r="250" spans="1:11" ht="36">
      <c r="A250" s="4" t="s">
        <v>48</v>
      </c>
      <c r="B250" s="16" t="s">
        <v>48</v>
      </c>
      <c r="C250" s="4" t="s">
        <v>48</v>
      </c>
      <c r="D250" s="4" t="s">
        <v>49</v>
      </c>
      <c r="E250" s="17" t="s">
        <v>350</v>
      </c>
      <c r="F250" s="4" t="s">
        <v>48</v>
      </c>
      <c r="G250" s="17" t="s">
        <v>351</v>
      </c>
      <c r="H250" s="16" t="s">
        <v>48</v>
      </c>
      <c r="I250" s="4">
        <v>3</v>
      </c>
      <c r="J250" s="4">
        <v>2</v>
      </c>
      <c r="K250" s="5">
        <v>0.5</v>
      </c>
    </row>
    <row r="251" spans="1:11" ht="36">
      <c r="A251" s="4" t="s">
        <v>48</v>
      </c>
      <c r="B251" s="16" t="s">
        <v>48</v>
      </c>
      <c r="C251" s="4" t="s">
        <v>48</v>
      </c>
      <c r="D251" s="4" t="s">
        <v>49</v>
      </c>
      <c r="E251" s="17" t="s">
        <v>352</v>
      </c>
      <c r="F251" s="4" t="s">
        <v>48</v>
      </c>
      <c r="G251" s="17" t="s">
        <v>353</v>
      </c>
      <c r="H251" s="16" t="s">
        <v>48</v>
      </c>
      <c r="I251" s="4">
        <v>3</v>
      </c>
      <c r="J251" s="4">
        <v>2</v>
      </c>
      <c r="K251" s="5">
        <v>0.75</v>
      </c>
    </row>
    <row r="252" spans="1:11" ht="36">
      <c r="A252" s="4" t="s">
        <v>48</v>
      </c>
      <c r="B252" s="16" t="s">
        <v>48</v>
      </c>
      <c r="C252" s="4" t="s">
        <v>48</v>
      </c>
      <c r="D252" s="4" t="s">
        <v>49</v>
      </c>
      <c r="E252" s="17" t="s">
        <v>354</v>
      </c>
      <c r="F252" s="4" t="s">
        <v>48</v>
      </c>
      <c r="G252" s="17" t="s">
        <v>355</v>
      </c>
      <c r="H252" s="16" t="s">
        <v>48</v>
      </c>
      <c r="I252" s="4">
        <v>3</v>
      </c>
      <c r="J252" s="4">
        <v>2</v>
      </c>
      <c r="K252" s="5">
        <v>0.75</v>
      </c>
    </row>
    <row r="253" spans="1:11" ht="36">
      <c r="A253" s="4" t="s">
        <v>48</v>
      </c>
      <c r="B253" s="16" t="s">
        <v>48</v>
      </c>
      <c r="C253" s="4" t="s">
        <v>48</v>
      </c>
      <c r="D253" s="4" t="s">
        <v>49</v>
      </c>
      <c r="E253" s="17" t="s">
        <v>356</v>
      </c>
      <c r="F253" s="4" t="s">
        <v>48</v>
      </c>
      <c r="G253" s="17" t="s">
        <v>357</v>
      </c>
      <c r="H253" s="16" t="s">
        <v>48</v>
      </c>
      <c r="I253" s="4">
        <v>3</v>
      </c>
      <c r="J253" s="4">
        <v>2</v>
      </c>
      <c r="K253" s="5">
        <v>1</v>
      </c>
    </row>
    <row r="254" spans="1:11">
      <c r="A254" s="4" t="s">
        <v>48</v>
      </c>
      <c r="B254" s="16" t="s">
        <v>48</v>
      </c>
      <c r="C254" s="4" t="s">
        <v>48</v>
      </c>
      <c r="D254" s="4" t="s">
        <v>49</v>
      </c>
      <c r="E254" s="17" t="s">
        <v>358</v>
      </c>
      <c r="F254" s="4" t="s">
        <v>48</v>
      </c>
      <c r="G254" s="17" t="s">
        <v>48</v>
      </c>
      <c r="H254" s="16" t="s">
        <v>48</v>
      </c>
      <c r="I254" s="4">
        <v>3</v>
      </c>
      <c r="J254" s="4">
        <v>1</v>
      </c>
      <c r="K254" s="5">
        <v>0.25</v>
      </c>
    </row>
    <row r="255" spans="1:11">
      <c r="A255" s="4" t="s">
        <v>48</v>
      </c>
      <c r="B255" s="16" t="s">
        <v>48</v>
      </c>
      <c r="C255" s="4" t="s">
        <v>48</v>
      </c>
      <c r="D255" s="4" t="s">
        <v>49</v>
      </c>
      <c r="E255" s="17" t="s">
        <v>359</v>
      </c>
      <c r="F255" s="4" t="s">
        <v>48</v>
      </c>
      <c r="G255" s="17" t="s">
        <v>48</v>
      </c>
      <c r="H255" s="16" t="s">
        <v>48</v>
      </c>
      <c r="I255" s="4">
        <v>1</v>
      </c>
      <c r="J255" s="4">
        <v>1</v>
      </c>
      <c r="K255" s="5">
        <v>0.25</v>
      </c>
    </row>
    <row r="256" spans="1:11">
      <c r="A256" s="4" t="s">
        <v>48</v>
      </c>
      <c r="B256" s="16" t="s">
        <v>48</v>
      </c>
      <c r="C256" s="4" t="s">
        <v>48</v>
      </c>
      <c r="D256" s="4" t="s">
        <v>60</v>
      </c>
      <c r="E256" s="17" t="s">
        <v>360</v>
      </c>
      <c r="F256" s="4" t="s">
        <v>48</v>
      </c>
      <c r="G256" s="17" t="s">
        <v>48</v>
      </c>
      <c r="H256" s="16" t="s">
        <v>48</v>
      </c>
      <c r="I256" s="4">
        <v>3</v>
      </c>
      <c r="J256" s="4"/>
      <c r="K256" s="5">
        <v>1</v>
      </c>
    </row>
    <row r="257" spans="1:11">
      <c r="A257" s="4" t="s">
        <v>48</v>
      </c>
      <c r="B257" s="16" t="s">
        <v>48</v>
      </c>
      <c r="C257" s="4" t="s">
        <v>48</v>
      </c>
      <c r="D257" s="4" t="s">
        <v>48</v>
      </c>
      <c r="E257" s="17" t="s">
        <v>48</v>
      </c>
      <c r="F257" s="4">
        <v>0</v>
      </c>
      <c r="G257" s="17" t="s">
        <v>361</v>
      </c>
      <c r="H257" s="16" t="s">
        <v>48</v>
      </c>
      <c r="I257" s="4"/>
      <c r="J257" s="4"/>
      <c r="K257" s="5"/>
    </row>
    <row r="258" spans="1:11" ht="24">
      <c r="A258" s="4" t="s">
        <v>48</v>
      </c>
      <c r="B258" s="16" t="s">
        <v>48</v>
      </c>
      <c r="C258" s="4" t="s">
        <v>48</v>
      </c>
      <c r="D258" s="4" t="s">
        <v>48</v>
      </c>
      <c r="E258" s="17" t="s">
        <v>48</v>
      </c>
      <c r="F258" s="4">
        <v>1</v>
      </c>
      <c r="G258" s="17" t="s">
        <v>362</v>
      </c>
      <c r="H258" s="16" t="s">
        <v>48</v>
      </c>
      <c r="I258" s="4"/>
      <c r="J258" s="4"/>
      <c r="K258" s="5"/>
    </row>
    <row r="259" spans="1:11" ht="36">
      <c r="A259" s="4" t="s">
        <v>48</v>
      </c>
      <c r="B259" s="16" t="s">
        <v>48</v>
      </c>
      <c r="C259" s="4" t="s">
        <v>48</v>
      </c>
      <c r="D259" s="4" t="s">
        <v>48</v>
      </c>
      <c r="E259" s="17" t="s">
        <v>48</v>
      </c>
      <c r="F259" s="4">
        <v>2</v>
      </c>
      <c r="G259" s="17" t="s">
        <v>363</v>
      </c>
      <c r="H259" s="16" t="s">
        <v>48</v>
      </c>
      <c r="I259" s="4"/>
      <c r="J259" s="4"/>
      <c r="K259" s="5"/>
    </row>
    <row r="260" spans="1:11" ht="36">
      <c r="A260" s="4" t="s">
        <v>48</v>
      </c>
      <c r="B260" s="16" t="s">
        <v>48</v>
      </c>
      <c r="C260" s="4" t="s">
        <v>48</v>
      </c>
      <c r="D260" s="4" t="s">
        <v>48</v>
      </c>
      <c r="E260" s="17" t="s">
        <v>48</v>
      </c>
      <c r="F260" s="4">
        <v>3</v>
      </c>
      <c r="G260" s="17" t="s">
        <v>364</v>
      </c>
      <c r="H260" s="16" t="s">
        <v>48</v>
      </c>
      <c r="I260" s="4"/>
      <c r="J260" s="4"/>
      <c r="K260" s="5"/>
    </row>
    <row r="261" spans="1:11">
      <c r="A261" s="4" t="s">
        <v>48</v>
      </c>
      <c r="B261" s="16" t="s">
        <v>48</v>
      </c>
      <c r="C261" s="4" t="s">
        <v>48</v>
      </c>
      <c r="D261" s="4" t="s">
        <v>60</v>
      </c>
      <c r="E261" s="17" t="s">
        <v>365</v>
      </c>
      <c r="F261" s="4" t="s">
        <v>48</v>
      </c>
      <c r="G261" s="17" t="s">
        <v>48</v>
      </c>
      <c r="H261" s="16" t="s">
        <v>48</v>
      </c>
      <c r="I261" s="4">
        <v>3</v>
      </c>
      <c r="J261" s="4"/>
      <c r="K261" s="5">
        <v>1</v>
      </c>
    </row>
    <row r="262" spans="1:11">
      <c r="A262" s="4" t="s">
        <v>48</v>
      </c>
      <c r="B262" s="16" t="s">
        <v>48</v>
      </c>
      <c r="C262" s="4" t="s">
        <v>48</v>
      </c>
      <c r="D262" s="4" t="s">
        <v>48</v>
      </c>
      <c r="E262" s="17" t="s">
        <v>48</v>
      </c>
      <c r="F262" s="4">
        <v>0</v>
      </c>
      <c r="G262" s="17" t="s">
        <v>361</v>
      </c>
      <c r="H262" s="16" t="s">
        <v>48</v>
      </c>
      <c r="I262" s="4"/>
      <c r="J262" s="4"/>
      <c r="K262" s="5"/>
    </row>
    <row r="263" spans="1:11" ht="24">
      <c r="A263" s="4" t="s">
        <v>48</v>
      </c>
      <c r="B263" s="16" t="s">
        <v>48</v>
      </c>
      <c r="C263" s="4" t="s">
        <v>48</v>
      </c>
      <c r="D263" s="4" t="s">
        <v>48</v>
      </c>
      <c r="E263" s="17" t="s">
        <v>48</v>
      </c>
      <c r="F263" s="4">
        <v>1</v>
      </c>
      <c r="G263" s="17" t="s">
        <v>362</v>
      </c>
      <c r="H263" s="16" t="s">
        <v>48</v>
      </c>
      <c r="I263" s="4"/>
      <c r="J263" s="4"/>
      <c r="K263" s="5"/>
    </row>
    <row r="264" spans="1:11" ht="36">
      <c r="A264" s="4" t="s">
        <v>48</v>
      </c>
      <c r="B264" s="16" t="s">
        <v>48</v>
      </c>
      <c r="C264" s="4" t="s">
        <v>48</v>
      </c>
      <c r="D264" s="4" t="s">
        <v>48</v>
      </c>
      <c r="E264" s="17" t="s">
        <v>48</v>
      </c>
      <c r="F264" s="4">
        <v>2</v>
      </c>
      <c r="G264" s="17" t="s">
        <v>363</v>
      </c>
      <c r="H264" s="16" t="s">
        <v>48</v>
      </c>
      <c r="I264" s="4"/>
      <c r="J264" s="4"/>
      <c r="K264" s="5"/>
    </row>
    <row r="265" spans="1:11" ht="36">
      <c r="A265" s="4" t="s">
        <v>48</v>
      </c>
      <c r="B265" s="16" t="s">
        <v>48</v>
      </c>
      <c r="C265" s="4" t="s">
        <v>48</v>
      </c>
      <c r="D265" s="4" t="s">
        <v>48</v>
      </c>
      <c r="E265" s="17" t="s">
        <v>48</v>
      </c>
      <c r="F265" s="4">
        <v>3</v>
      </c>
      <c r="G265" s="17" t="s">
        <v>364</v>
      </c>
      <c r="H265" s="16" t="s">
        <v>48</v>
      </c>
      <c r="I265" s="4"/>
      <c r="J265" s="4"/>
      <c r="K265" s="5"/>
    </row>
    <row r="266" spans="1:11">
      <c r="A266" s="4" t="s">
        <v>366</v>
      </c>
      <c r="B266" s="16" t="s">
        <v>367</v>
      </c>
      <c r="C266" s="4" t="s">
        <v>318</v>
      </c>
      <c r="D266" s="16" t="s">
        <v>48</v>
      </c>
      <c r="E266" s="17" t="s">
        <v>48</v>
      </c>
      <c r="F266" s="16" t="s">
        <v>48</v>
      </c>
      <c r="G266" s="17" t="s">
        <v>48</v>
      </c>
      <c r="H266" s="16" t="s">
        <v>48</v>
      </c>
      <c r="I266" s="16" t="s">
        <v>48</v>
      </c>
      <c r="J266" s="16" t="s">
        <v>48</v>
      </c>
      <c r="K266" s="16" t="s">
        <v>48</v>
      </c>
    </row>
    <row r="267" spans="1:11">
      <c r="A267" s="4" t="s">
        <v>48</v>
      </c>
      <c r="B267" s="16" t="s">
        <v>48</v>
      </c>
      <c r="C267" s="4" t="s">
        <v>48</v>
      </c>
      <c r="D267" s="4" t="s">
        <v>49</v>
      </c>
      <c r="E267" s="17" t="s">
        <v>368</v>
      </c>
      <c r="F267" s="4" t="s">
        <v>48</v>
      </c>
      <c r="G267" s="17" t="s">
        <v>48</v>
      </c>
      <c r="H267" s="16" t="s">
        <v>48</v>
      </c>
      <c r="I267" s="4">
        <v>4</v>
      </c>
      <c r="J267" s="4">
        <v>1</v>
      </c>
      <c r="K267" s="5">
        <v>0.5</v>
      </c>
    </row>
    <row r="268" spans="1:11">
      <c r="A268" s="4" t="s">
        <v>48</v>
      </c>
      <c r="B268" s="16" t="s">
        <v>48</v>
      </c>
      <c r="C268" s="4" t="s">
        <v>48</v>
      </c>
      <c r="D268" s="4" t="s">
        <v>49</v>
      </c>
      <c r="E268" s="17" t="s">
        <v>369</v>
      </c>
      <c r="F268" s="4" t="s">
        <v>48</v>
      </c>
      <c r="G268" s="17" t="s">
        <v>370</v>
      </c>
      <c r="H268" s="16" t="s">
        <v>48</v>
      </c>
      <c r="I268" s="4">
        <v>4</v>
      </c>
      <c r="J268" s="4">
        <v>1</v>
      </c>
      <c r="K268" s="5">
        <v>0.5</v>
      </c>
    </row>
    <row r="269" spans="1:11">
      <c r="A269" s="4" t="s">
        <v>48</v>
      </c>
      <c r="B269" s="16" t="s">
        <v>48</v>
      </c>
      <c r="C269" s="4" t="s">
        <v>48</v>
      </c>
      <c r="D269" s="4" t="s">
        <v>49</v>
      </c>
      <c r="E269" s="17" t="s">
        <v>371</v>
      </c>
      <c r="F269" s="4" t="s">
        <v>48</v>
      </c>
      <c r="G269" s="17" t="s">
        <v>48</v>
      </c>
      <c r="H269" s="16" t="s">
        <v>48</v>
      </c>
      <c r="I269" s="4">
        <v>4</v>
      </c>
      <c r="J269" s="4">
        <v>1</v>
      </c>
      <c r="K269" s="5">
        <v>0.5</v>
      </c>
    </row>
    <row r="270" spans="1:11">
      <c r="A270" s="4" t="s">
        <v>48</v>
      </c>
      <c r="B270" s="16" t="s">
        <v>48</v>
      </c>
      <c r="C270" s="4" t="s">
        <v>48</v>
      </c>
      <c r="D270" s="4" t="s">
        <v>49</v>
      </c>
      <c r="E270" s="17" t="s">
        <v>372</v>
      </c>
      <c r="F270" s="4" t="s">
        <v>48</v>
      </c>
      <c r="G270" s="17" t="s">
        <v>48</v>
      </c>
      <c r="H270" s="16" t="s">
        <v>48</v>
      </c>
      <c r="I270" s="4">
        <v>4</v>
      </c>
      <c r="J270" s="4">
        <v>1</v>
      </c>
      <c r="K270" s="5">
        <v>1</v>
      </c>
    </row>
    <row r="271" spans="1:11">
      <c r="A271" s="4" t="s">
        <v>48</v>
      </c>
      <c r="B271" s="16" t="s">
        <v>48</v>
      </c>
      <c r="C271" s="4" t="s">
        <v>48</v>
      </c>
      <c r="D271" s="4" t="s">
        <v>49</v>
      </c>
      <c r="E271" s="17" t="s">
        <v>373</v>
      </c>
      <c r="F271" s="4" t="s">
        <v>48</v>
      </c>
      <c r="G271" s="17" t="s">
        <v>374</v>
      </c>
      <c r="H271" s="16" t="s">
        <v>48</v>
      </c>
      <c r="I271" s="4">
        <v>4</v>
      </c>
      <c r="J271" s="4">
        <v>1</v>
      </c>
      <c r="K271" s="5">
        <v>0.5</v>
      </c>
    </row>
    <row r="272" spans="1:11">
      <c r="A272" s="4" t="s">
        <v>48</v>
      </c>
      <c r="B272" s="16" t="s">
        <v>48</v>
      </c>
      <c r="C272" s="4" t="s">
        <v>48</v>
      </c>
      <c r="D272" s="4" t="s">
        <v>49</v>
      </c>
      <c r="E272" s="17" t="s">
        <v>375</v>
      </c>
      <c r="F272" s="4" t="s">
        <v>48</v>
      </c>
      <c r="G272" s="17" t="s">
        <v>48</v>
      </c>
      <c r="H272" s="16" t="s">
        <v>48</v>
      </c>
      <c r="I272" s="4">
        <v>4</v>
      </c>
      <c r="J272" s="4">
        <v>1</v>
      </c>
      <c r="K272" s="5">
        <v>0.5</v>
      </c>
    </row>
    <row r="273" spans="1:14" ht="24">
      <c r="A273" s="4" t="s">
        <v>48</v>
      </c>
      <c r="B273" s="16" t="s">
        <v>48</v>
      </c>
      <c r="C273" s="4" t="s">
        <v>48</v>
      </c>
      <c r="D273" s="4" t="s">
        <v>49</v>
      </c>
      <c r="E273" s="17" t="s">
        <v>376</v>
      </c>
      <c r="F273" s="4" t="s">
        <v>48</v>
      </c>
      <c r="G273" s="17" t="s">
        <v>48</v>
      </c>
      <c r="H273" s="16" t="s">
        <v>48</v>
      </c>
      <c r="I273" s="4">
        <v>3</v>
      </c>
      <c r="J273" s="4">
        <v>1</v>
      </c>
      <c r="K273" s="5">
        <v>0.25</v>
      </c>
    </row>
    <row r="274" spans="1:14">
      <c r="A274" s="4" t="s">
        <v>48</v>
      </c>
      <c r="B274" s="16" t="s">
        <v>48</v>
      </c>
      <c r="C274" s="4" t="s">
        <v>48</v>
      </c>
      <c r="D274" s="4" t="s">
        <v>48</v>
      </c>
      <c r="E274" s="17" t="s">
        <v>48</v>
      </c>
      <c r="F274" s="4" t="s">
        <v>48</v>
      </c>
      <c r="G274" s="17" t="s">
        <v>48</v>
      </c>
      <c r="H274" s="16" t="s">
        <v>48</v>
      </c>
      <c r="I274" s="4"/>
      <c r="J274" s="4"/>
      <c r="K274" s="5"/>
    </row>
    <row r="275" spans="1:14">
      <c r="A275" s="4" t="s">
        <v>48</v>
      </c>
      <c r="B275" s="16" t="s">
        <v>48</v>
      </c>
      <c r="C275" s="4" t="s">
        <v>48</v>
      </c>
      <c r="D275" s="4" t="s">
        <v>48</v>
      </c>
      <c r="E275" s="17" t="s">
        <v>48</v>
      </c>
      <c r="F275" s="4" t="s">
        <v>48</v>
      </c>
      <c r="G275" s="17" t="s">
        <v>48</v>
      </c>
      <c r="H275" s="16" t="s">
        <v>48</v>
      </c>
      <c r="I275" s="4"/>
      <c r="J275" s="4"/>
      <c r="K275" s="5"/>
    </row>
    <row r="276" spans="1:14" ht="60">
      <c r="A276" s="12" t="s">
        <v>32</v>
      </c>
      <c r="B276" s="12" t="s">
        <v>33</v>
      </c>
      <c r="C276" s="12" t="s">
        <v>34</v>
      </c>
      <c r="D276" s="12" t="s">
        <v>35</v>
      </c>
      <c r="E276" s="12" t="s">
        <v>36</v>
      </c>
      <c r="F276" s="12" t="s">
        <v>37</v>
      </c>
      <c r="G276" s="12" t="s">
        <v>38</v>
      </c>
      <c r="H276" s="12" t="s">
        <v>39</v>
      </c>
      <c r="I276" s="12" t="s">
        <v>40</v>
      </c>
      <c r="J276" s="12" t="s">
        <v>41</v>
      </c>
      <c r="K276" s="12" t="s">
        <v>42</v>
      </c>
      <c r="L276" s="13" t="s">
        <v>377</v>
      </c>
      <c r="M276" s="14" t="s">
        <v>44</v>
      </c>
      <c r="N276" s="15">
        <f>SUM(K277:K317)</f>
        <v>13.5</v>
      </c>
    </row>
    <row r="277" spans="1:14">
      <c r="A277" s="4" t="s">
        <v>378</v>
      </c>
      <c r="B277" s="16" t="s">
        <v>379</v>
      </c>
      <c r="C277" s="4" t="s">
        <v>318</v>
      </c>
      <c r="D277" s="16" t="s">
        <v>48</v>
      </c>
      <c r="E277" s="17" t="s">
        <v>48</v>
      </c>
      <c r="F277" s="16" t="s">
        <v>48</v>
      </c>
      <c r="G277" s="17" t="s">
        <v>48</v>
      </c>
      <c r="H277" s="16" t="s">
        <v>48</v>
      </c>
      <c r="I277" s="16" t="s">
        <v>48</v>
      </c>
      <c r="J277" s="16" t="s">
        <v>48</v>
      </c>
      <c r="K277" s="16" t="s">
        <v>48</v>
      </c>
    </row>
    <row r="278" spans="1:14">
      <c r="A278" s="4" t="s">
        <v>48</v>
      </c>
      <c r="B278" s="16" t="s">
        <v>48</v>
      </c>
      <c r="C278" s="4" t="s">
        <v>48</v>
      </c>
      <c r="D278" s="4" t="s">
        <v>49</v>
      </c>
      <c r="E278" s="17" t="s">
        <v>319</v>
      </c>
      <c r="F278" s="4" t="s">
        <v>48</v>
      </c>
      <c r="G278" s="17" t="s">
        <v>380</v>
      </c>
      <c r="H278" s="16" t="s">
        <v>48</v>
      </c>
      <c r="I278" s="4">
        <v>2</v>
      </c>
      <c r="J278" s="4">
        <v>1</v>
      </c>
      <c r="K278" s="5">
        <v>0.25</v>
      </c>
    </row>
    <row r="279" spans="1:14" ht="24">
      <c r="A279" s="4" t="s">
        <v>48</v>
      </c>
      <c r="B279" s="16" t="s">
        <v>48</v>
      </c>
      <c r="C279" s="4" t="s">
        <v>48</v>
      </c>
      <c r="D279" s="4" t="s">
        <v>49</v>
      </c>
      <c r="E279" s="17" t="s">
        <v>381</v>
      </c>
      <c r="F279" s="4" t="s">
        <v>48</v>
      </c>
      <c r="G279" s="17" t="s">
        <v>48</v>
      </c>
      <c r="H279" s="16" t="s">
        <v>48</v>
      </c>
      <c r="I279" s="4">
        <v>1</v>
      </c>
      <c r="J279" s="4">
        <v>1</v>
      </c>
      <c r="K279" s="5">
        <v>0.5</v>
      </c>
    </row>
    <row r="280" spans="1:14">
      <c r="A280" s="4" t="s">
        <v>48</v>
      </c>
      <c r="B280" s="16" t="s">
        <v>48</v>
      </c>
      <c r="C280" s="4" t="s">
        <v>48</v>
      </c>
      <c r="D280" s="4" t="s">
        <v>49</v>
      </c>
      <c r="E280" s="17" t="s">
        <v>382</v>
      </c>
      <c r="F280" s="4" t="s">
        <v>48</v>
      </c>
      <c r="G280" s="17" t="s">
        <v>48</v>
      </c>
      <c r="H280" s="16" t="s">
        <v>48</v>
      </c>
      <c r="I280" s="4">
        <v>1</v>
      </c>
      <c r="J280" s="4">
        <v>1</v>
      </c>
      <c r="K280" s="5">
        <v>0.5</v>
      </c>
    </row>
    <row r="281" spans="1:14" ht="24">
      <c r="A281" s="4" t="s">
        <v>48</v>
      </c>
      <c r="B281" s="16" t="s">
        <v>48</v>
      </c>
      <c r="C281" s="4" t="s">
        <v>48</v>
      </c>
      <c r="D281" s="4" t="s">
        <v>49</v>
      </c>
      <c r="E281" s="17" t="s">
        <v>383</v>
      </c>
      <c r="F281" s="4" t="s">
        <v>48</v>
      </c>
      <c r="G281" s="17" t="s">
        <v>48</v>
      </c>
      <c r="H281" s="16" t="s">
        <v>48</v>
      </c>
      <c r="I281" s="4">
        <v>4</v>
      </c>
      <c r="J281" s="4">
        <v>1</v>
      </c>
      <c r="K281" s="5">
        <v>1</v>
      </c>
    </row>
    <row r="282" spans="1:14">
      <c r="A282" s="4" t="s">
        <v>384</v>
      </c>
      <c r="B282" s="16" t="s">
        <v>385</v>
      </c>
      <c r="C282" s="4" t="s">
        <v>318</v>
      </c>
      <c r="D282" s="16" t="s">
        <v>48</v>
      </c>
      <c r="E282" s="17" t="s">
        <v>48</v>
      </c>
      <c r="F282" s="16" t="s">
        <v>48</v>
      </c>
      <c r="G282" s="17" t="s">
        <v>48</v>
      </c>
      <c r="H282" s="16" t="s">
        <v>48</v>
      </c>
      <c r="I282" s="16" t="s">
        <v>48</v>
      </c>
      <c r="J282" s="16" t="s">
        <v>48</v>
      </c>
      <c r="K282" s="16" t="s">
        <v>48</v>
      </c>
    </row>
    <row r="283" spans="1:14" ht="24">
      <c r="A283" s="4" t="s">
        <v>48</v>
      </c>
      <c r="B283" s="16" t="s">
        <v>48</v>
      </c>
      <c r="C283" s="4" t="s">
        <v>48</v>
      </c>
      <c r="D283" s="4" t="s">
        <v>49</v>
      </c>
      <c r="E283" s="17" t="s">
        <v>386</v>
      </c>
      <c r="F283" s="4" t="s">
        <v>48</v>
      </c>
      <c r="G283" s="17" t="s">
        <v>48</v>
      </c>
      <c r="H283" s="16" t="s">
        <v>48</v>
      </c>
      <c r="I283" s="4">
        <v>4</v>
      </c>
      <c r="J283" s="4">
        <v>1</v>
      </c>
      <c r="K283" s="5">
        <v>0.5</v>
      </c>
    </row>
    <row r="284" spans="1:14" ht="24">
      <c r="A284" s="4" t="s">
        <v>48</v>
      </c>
      <c r="B284" s="16" t="s">
        <v>48</v>
      </c>
      <c r="C284" s="4" t="s">
        <v>48</v>
      </c>
      <c r="D284" s="4" t="s">
        <v>49</v>
      </c>
      <c r="E284" s="17" t="s">
        <v>387</v>
      </c>
      <c r="F284" s="4" t="s">
        <v>48</v>
      </c>
      <c r="G284" s="17" t="s">
        <v>388</v>
      </c>
      <c r="H284" s="16" t="s">
        <v>48</v>
      </c>
      <c r="I284" s="4">
        <v>3</v>
      </c>
      <c r="J284" s="4">
        <v>1</v>
      </c>
      <c r="K284" s="5">
        <v>0.25</v>
      </c>
    </row>
    <row r="285" spans="1:14">
      <c r="A285" s="4" t="s">
        <v>48</v>
      </c>
      <c r="B285" s="16" t="s">
        <v>48</v>
      </c>
      <c r="C285" s="4" t="s">
        <v>48</v>
      </c>
      <c r="D285" s="4" t="s">
        <v>49</v>
      </c>
      <c r="E285" s="17" t="s">
        <v>389</v>
      </c>
      <c r="F285" s="4" t="s">
        <v>48</v>
      </c>
      <c r="G285" s="17" t="s">
        <v>48</v>
      </c>
      <c r="H285" s="16" t="s">
        <v>48</v>
      </c>
      <c r="I285" s="4">
        <v>3</v>
      </c>
      <c r="J285" s="4">
        <v>1</v>
      </c>
      <c r="K285" s="5">
        <v>0.25</v>
      </c>
    </row>
    <row r="286" spans="1:14">
      <c r="A286" s="4" t="s">
        <v>48</v>
      </c>
      <c r="B286" s="16" t="s">
        <v>48</v>
      </c>
      <c r="C286" s="4" t="s">
        <v>48</v>
      </c>
      <c r="D286" s="4" t="s">
        <v>49</v>
      </c>
      <c r="E286" s="17" t="s">
        <v>390</v>
      </c>
      <c r="F286" s="4" t="s">
        <v>48</v>
      </c>
      <c r="G286" s="17" t="s">
        <v>48</v>
      </c>
      <c r="H286" s="16" t="s">
        <v>48</v>
      </c>
      <c r="I286" s="4">
        <v>3</v>
      </c>
      <c r="J286" s="4">
        <v>1</v>
      </c>
      <c r="K286" s="5">
        <v>0.5</v>
      </c>
    </row>
    <row r="287" spans="1:14">
      <c r="A287" s="4" t="s">
        <v>48</v>
      </c>
      <c r="B287" s="16" t="s">
        <v>48</v>
      </c>
      <c r="C287" s="4" t="s">
        <v>48</v>
      </c>
      <c r="D287" s="4" t="s">
        <v>49</v>
      </c>
      <c r="E287" s="17" t="s">
        <v>391</v>
      </c>
      <c r="F287" s="4" t="s">
        <v>48</v>
      </c>
      <c r="G287" s="17" t="s">
        <v>48</v>
      </c>
      <c r="H287" s="16" t="s">
        <v>48</v>
      </c>
      <c r="I287" s="4">
        <v>3</v>
      </c>
      <c r="J287" s="4">
        <v>1</v>
      </c>
      <c r="K287" s="5">
        <v>0.5</v>
      </c>
    </row>
    <row r="288" spans="1:14">
      <c r="A288" s="4" t="s">
        <v>392</v>
      </c>
      <c r="B288" s="16" t="s">
        <v>393</v>
      </c>
      <c r="C288" s="4" t="s">
        <v>318</v>
      </c>
      <c r="D288" s="16" t="s">
        <v>48</v>
      </c>
      <c r="E288" s="17" t="s">
        <v>48</v>
      </c>
      <c r="F288" s="16" t="s">
        <v>48</v>
      </c>
      <c r="G288" s="17" t="s">
        <v>48</v>
      </c>
      <c r="H288" s="16" t="s">
        <v>48</v>
      </c>
      <c r="I288" s="16" t="s">
        <v>48</v>
      </c>
      <c r="J288" s="16" t="s">
        <v>48</v>
      </c>
      <c r="K288" s="16" t="s">
        <v>48</v>
      </c>
    </row>
    <row r="289" spans="1:11">
      <c r="A289" s="4" t="s">
        <v>48</v>
      </c>
      <c r="B289" s="16" t="s">
        <v>48</v>
      </c>
      <c r="C289" s="4" t="s">
        <v>48</v>
      </c>
      <c r="D289" s="4" t="s">
        <v>49</v>
      </c>
      <c r="E289" s="17" t="s">
        <v>394</v>
      </c>
      <c r="F289" s="4" t="s">
        <v>48</v>
      </c>
      <c r="G289" s="17" t="s">
        <v>48</v>
      </c>
      <c r="H289" s="16" t="s">
        <v>48</v>
      </c>
      <c r="I289" s="4">
        <v>3</v>
      </c>
      <c r="J289" s="4">
        <v>1</v>
      </c>
      <c r="K289" s="5">
        <v>0.25</v>
      </c>
    </row>
    <row r="290" spans="1:11">
      <c r="A290" s="4" t="s">
        <v>48</v>
      </c>
      <c r="B290" s="16" t="s">
        <v>48</v>
      </c>
      <c r="C290" s="4" t="s">
        <v>48</v>
      </c>
      <c r="D290" s="4" t="s">
        <v>49</v>
      </c>
      <c r="E290" s="17" t="s">
        <v>395</v>
      </c>
      <c r="F290" s="4" t="s">
        <v>48</v>
      </c>
      <c r="G290" s="17" t="s">
        <v>48</v>
      </c>
      <c r="H290" s="16" t="s">
        <v>48</v>
      </c>
      <c r="I290" s="4">
        <v>3</v>
      </c>
      <c r="J290" s="4">
        <v>1</v>
      </c>
      <c r="K290" s="5">
        <v>0.5</v>
      </c>
    </row>
    <row r="291" spans="1:11">
      <c r="A291" s="4" t="s">
        <v>48</v>
      </c>
      <c r="B291" s="16" t="s">
        <v>48</v>
      </c>
      <c r="C291" s="4" t="s">
        <v>48</v>
      </c>
      <c r="D291" s="4" t="s">
        <v>49</v>
      </c>
      <c r="E291" s="17" t="s">
        <v>396</v>
      </c>
      <c r="F291" s="4" t="s">
        <v>48</v>
      </c>
      <c r="G291" s="17" t="s">
        <v>48</v>
      </c>
      <c r="H291" s="16" t="s">
        <v>48</v>
      </c>
      <c r="I291" s="4">
        <v>3</v>
      </c>
      <c r="J291" s="4">
        <v>1</v>
      </c>
      <c r="K291" s="5">
        <v>0.5</v>
      </c>
    </row>
    <row r="292" spans="1:11">
      <c r="A292" s="4" t="s">
        <v>48</v>
      </c>
      <c r="B292" s="16" t="s">
        <v>48</v>
      </c>
      <c r="C292" s="4" t="s">
        <v>48</v>
      </c>
      <c r="D292" s="4" t="s">
        <v>49</v>
      </c>
      <c r="E292" s="17" t="s">
        <v>397</v>
      </c>
      <c r="F292" s="4" t="s">
        <v>48</v>
      </c>
      <c r="G292" s="17" t="s">
        <v>48</v>
      </c>
      <c r="H292" s="16" t="s">
        <v>48</v>
      </c>
      <c r="I292" s="4">
        <v>3</v>
      </c>
      <c r="J292" s="4">
        <v>1</v>
      </c>
      <c r="K292" s="5">
        <v>0.25</v>
      </c>
    </row>
    <row r="293" spans="1:11">
      <c r="A293" s="4" t="s">
        <v>48</v>
      </c>
      <c r="B293" s="16" t="s">
        <v>48</v>
      </c>
      <c r="C293" s="4" t="s">
        <v>48</v>
      </c>
      <c r="D293" s="4" t="s">
        <v>49</v>
      </c>
      <c r="E293" s="17" t="s">
        <v>398</v>
      </c>
      <c r="F293" s="4" t="s">
        <v>48</v>
      </c>
      <c r="G293" s="17" t="s">
        <v>48</v>
      </c>
      <c r="H293" s="16" t="s">
        <v>48</v>
      </c>
      <c r="I293" s="4">
        <v>3</v>
      </c>
      <c r="J293" s="4">
        <v>1</v>
      </c>
      <c r="K293" s="5">
        <v>0.25</v>
      </c>
    </row>
    <row r="294" spans="1:11">
      <c r="A294" s="4" t="s">
        <v>48</v>
      </c>
      <c r="B294" s="16" t="s">
        <v>48</v>
      </c>
      <c r="C294" s="4" t="s">
        <v>48</v>
      </c>
      <c r="D294" s="4" t="s">
        <v>49</v>
      </c>
      <c r="E294" s="17" t="s">
        <v>399</v>
      </c>
      <c r="F294" s="4" t="s">
        <v>48</v>
      </c>
      <c r="G294" s="17" t="s">
        <v>48</v>
      </c>
      <c r="H294" s="16" t="s">
        <v>48</v>
      </c>
      <c r="I294" s="4">
        <v>3</v>
      </c>
      <c r="J294" s="4">
        <v>1</v>
      </c>
      <c r="K294" s="5">
        <v>0.25</v>
      </c>
    </row>
    <row r="295" spans="1:11">
      <c r="A295" s="4" t="s">
        <v>48</v>
      </c>
      <c r="B295" s="16" t="s">
        <v>48</v>
      </c>
      <c r="C295" s="4" t="s">
        <v>48</v>
      </c>
      <c r="D295" s="4" t="s">
        <v>49</v>
      </c>
      <c r="E295" s="17" t="s">
        <v>400</v>
      </c>
      <c r="F295" s="4" t="s">
        <v>48</v>
      </c>
      <c r="G295" s="17" t="s">
        <v>48</v>
      </c>
      <c r="H295" s="16" t="s">
        <v>48</v>
      </c>
      <c r="I295" s="4">
        <v>3</v>
      </c>
      <c r="J295" s="4">
        <v>1</v>
      </c>
      <c r="K295" s="5">
        <v>0.25</v>
      </c>
    </row>
    <row r="296" spans="1:11">
      <c r="A296" s="4" t="s">
        <v>48</v>
      </c>
      <c r="B296" s="16" t="s">
        <v>48</v>
      </c>
      <c r="C296" s="4" t="s">
        <v>48</v>
      </c>
      <c r="D296" s="4" t="s">
        <v>49</v>
      </c>
      <c r="E296" s="17" t="s">
        <v>401</v>
      </c>
      <c r="F296" s="4" t="s">
        <v>48</v>
      </c>
      <c r="G296" s="17" t="s">
        <v>48</v>
      </c>
      <c r="H296" s="16" t="s">
        <v>48</v>
      </c>
      <c r="I296" s="4">
        <v>3</v>
      </c>
      <c r="J296" s="4">
        <v>1</v>
      </c>
      <c r="K296" s="5">
        <v>0.25</v>
      </c>
    </row>
    <row r="297" spans="1:11">
      <c r="A297" s="4" t="s">
        <v>48</v>
      </c>
      <c r="B297" s="16" t="s">
        <v>48</v>
      </c>
      <c r="C297" s="4" t="s">
        <v>48</v>
      </c>
      <c r="D297" s="4" t="s">
        <v>49</v>
      </c>
      <c r="E297" s="17" t="s">
        <v>402</v>
      </c>
      <c r="F297" s="4" t="s">
        <v>48</v>
      </c>
      <c r="G297" s="17" t="s">
        <v>48</v>
      </c>
      <c r="H297" s="16" t="s">
        <v>48</v>
      </c>
      <c r="I297" s="4">
        <v>3</v>
      </c>
      <c r="J297" s="4">
        <v>1</v>
      </c>
      <c r="K297" s="5">
        <v>0.25</v>
      </c>
    </row>
    <row r="298" spans="1:11">
      <c r="A298" s="4" t="s">
        <v>403</v>
      </c>
      <c r="B298" s="16" t="s">
        <v>404</v>
      </c>
      <c r="C298" s="4" t="s">
        <v>318</v>
      </c>
      <c r="D298" s="16" t="s">
        <v>48</v>
      </c>
      <c r="E298" s="17" t="s">
        <v>48</v>
      </c>
      <c r="F298" s="16" t="s">
        <v>48</v>
      </c>
      <c r="G298" s="17" t="s">
        <v>48</v>
      </c>
      <c r="H298" s="16" t="s">
        <v>48</v>
      </c>
      <c r="I298" s="16" t="s">
        <v>48</v>
      </c>
      <c r="J298" s="16" t="s">
        <v>48</v>
      </c>
      <c r="K298" s="16" t="s">
        <v>48</v>
      </c>
    </row>
    <row r="299" spans="1:11" ht="24">
      <c r="A299" s="4" t="s">
        <v>48</v>
      </c>
      <c r="B299" s="16" t="s">
        <v>48</v>
      </c>
      <c r="C299" s="4" t="s">
        <v>48</v>
      </c>
      <c r="D299" s="4" t="s">
        <v>49</v>
      </c>
      <c r="E299" s="17" t="s">
        <v>405</v>
      </c>
      <c r="F299" s="4" t="s">
        <v>48</v>
      </c>
      <c r="G299" s="17" t="s">
        <v>406</v>
      </c>
      <c r="H299" s="16" t="s">
        <v>48</v>
      </c>
      <c r="I299" s="4">
        <v>3</v>
      </c>
      <c r="J299" s="4">
        <v>2</v>
      </c>
      <c r="K299" s="5">
        <v>1</v>
      </c>
    </row>
    <row r="300" spans="1:11">
      <c r="A300" s="4" t="s">
        <v>48</v>
      </c>
      <c r="B300" s="16" t="s">
        <v>48</v>
      </c>
      <c r="C300" s="4" t="s">
        <v>48</v>
      </c>
      <c r="D300" s="4" t="s">
        <v>49</v>
      </c>
      <c r="E300" s="17" t="s">
        <v>407</v>
      </c>
      <c r="F300" s="4" t="s">
        <v>48</v>
      </c>
      <c r="G300" s="17" t="s">
        <v>48</v>
      </c>
      <c r="H300" s="16" t="s">
        <v>48</v>
      </c>
      <c r="I300" s="4">
        <v>3</v>
      </c>
      <c r="J300" s="4">
        <v>1</v>
      </c>
      <c r="K300" s="5">
        <v>0.5</v>
      </c>
    </row>
    <row r="301" spans="1:11">
      <c r="A301" s="4" t="s">
        <v>48</v>
      </c>
      <c r="B301" s="16" t="s">
        <v>48</v>
      </c>
      <c r="C301" s="4" t="s">
        <v>48</v>
      </c>
      <c r="D301" s="4" t="s">
        <v>49</v>
      </c>
      <c r="E301" s="17" t="s">
        <v>408</v>
      </c>
      <c r="F301" s="4" t="s">
        <v>48</v>
      </c>
      <c r="G301" s="17" t="s">
        <v>409</v>
      </c>
      <c r="H301" s="16" t="s">
        <v>48</v>
      </c>
      <c r="I301" s="4">
        <v>3</v>
      </c>
      <c r="J301" s="4">
        <v>6</v>
      </c>
      <c r="K301" s="5">
        <v>1</v>
      </c>
    </row>
    <row r="302" spans="1:11" ht="24">
      <c r="A302" s="4" t="s">
        <v>48</v>
      </c>
      <c r="B302" s="16" t="s">
        <v>48</v>
      </c>
      <c r="C302" s="4" t="s">
        <v>48</v>
      </c>
      <c r="D302" s="4" t="s">
        <v>49</v>
      </c>
      <c r="E302" s="17" t="s">
        <v>410</v>
      </c>
      <c r="F302" s="4" t="s">
        <v>48</v>
      </c>
      <c r="G302" s="17" t="s">
        <v>48</v>
      </c>
      <c r="H302" s="16" t="s">
        <v>48</v>
      </c>
      <c r="I302" s="4">
        <v>3</v>
      </c>
      <c r="J302" s="4">
        <v>1</v>
      </c>
      <c r="K302" s="5">
        <v>0.5</v>
      </c>
    </row>
    <row r="303" spans="1:11">
      <c r="A303" s="4" t="s">
        <v>411</v>
      </c>
      <c r="B303" s="16" t="s">
        <v>412</v>
      </c>
      <c r="C303" s="4" t="s">
        <v>318</v>
      </c>
      <c r="D303" s="16" t="s">
        <v>48</v>
      </c>
      <c r="E303" s="17" t="s">
        <v>48</v>
      </c>
      <c r="F303" s="16" t="s">
        <v>48</v>
      </c>
      <c r="G303" s="17" t="s">
        <v>48</v>
      </c>
      <c r="H303" s="16" t="s">
        <v>48</v>
      </c>
      <c r="I303" s="16" t="s">
        <v>48</v>
      </c>
      <c r="J303" s="16" t="s">
        <v>48</v>
      </c>
      <c r="K303" s="16" t="s">
        <v>48</v>
      </c>
    </row>
    <row r="304" spans="1:11">
      <c r="A304" s="4" t="s">
        <v>48</v>
      </c>
      <c r="B304" s="16" t="s">
        <v>48</v>
      </c>
      <c r="C304" s="4" t="s">
        <v>48</v>
      </c>
      <c r="D304" s="4" t="s">
        <v>49</v>
      </c>
      <c r="E304" s="17" t="s">
        <v>413</v>
      </c>
      <c r="F304" s="4" t="s">
        <v>48</v>
      </c>
      <c r="G304" s="17" t="s">
        <v>414</v>
      </c>
      <c r="H304" s="16" t="s">
        <v>48</v>
      </c>
      <c r="I304" s="4">
        <v>3</v>
      </c>
      <c r="J304" s="4">
        <v>1</v>
      </c>
      <c r="K304" s="5">
        <v>0.5</v>
      </c>
    </row>
    <row r="305" spans="1:14" ht="36">
      <c r="A305" s="4" t="s">
        <v>48</v>
      </c>
      <c r="B305" s="16" t="s">
        <v>48</v>
      </c>
      <c r="C305" s="4" t="s">
        <v>48</v>
      </c>
      <c r="D305" s="4" t="s">
        <v>49</v>
      </c>
      <c r="E305" s="17" t="s">
        <v>415</v>
      </c>
      <c r="F305" s="4" t="s">
        <v>48</v>
      </c>
      <c r="G305" s="17" t="s">
        <v>416</v>
      </c>
      <c r="H305" s="16" t="s">
        <v>48</v>
      </c>
      <c r="I305" s="4">
        <v>3</v>
      </c>
      <c r="J305" s="4">
        <v>1</v>
      </c>
      <c r="K305" s="5">
        <v>1</v>
      </c>
    </row>
    <row r="306" spans="1:14">
      <c r="A306" s="4" t="s">
        <v>48</v>
      </c>
      <c r="B306" s="16" t="s">
        <v>48</v>
      </c>
      <c r="C306" s="4" t="s">
        <v>48</v>
      </c>
      <c r="D306" s="4" t="s">
        <v>60</v>
      </c>
      <c r="E306" s="17" t="s">
        <v>417</v>
      </c>
      <c r="F306" s="4" t="s">
        <v>48</v>
      </c>
      <c r="G306" s="17" t="s">
        <v>48</v>
      </c>
      <c r="H306" s="16" t="s">
        <v>48</v>
      </c>
      <c r="I306" s="4">
        <v>3</v>
      </c>
      <c r="J306" s="4"/>
      <c r="K306" s="5">
        <v>1</v>
      </c>
    </row>
    <row r="307" spans="1:14" ht="24">
      <c r="A307" s="4" t="s">
        <v>48</v>
      </c>
      <c r="B307" s="16" t="s">
        <v>48</v>
      </c>
      <c r="C307" s="4" t="s">
        <v>48</v>
      </c>
      <c r="D307" s="4" t="s">
        <v>48</v>
      </c>
      <c r="E307" s="17" t="s">
        <v>48</v>
      </c>
      <c r="F307" s="4">
        <v>0</v>
      </c>
      <c r="G307" s="17" t="s">
        <v>418</v>
      </c>
      <c r="H307" s="16" t="s">
        <v>48</v>
      </c>
      <c r="I307" s="4"/>
      <c r="J307" s="4"/>
      <c r="K307" s="5"/>
    </row>
    <row r="308" spans="1:14" ht="24">
      <c r="A308" s="4" t="s">
        <v>48</v>
      </c>
      <c r="B308" s="16" t="s">
        <v>48</v>
      </c>
      <c r="C308" s="4" t="s">
        <v>48</v>
      </c>
      <c r="D308" s="4" t="s">
        <v>48</v>
      </c>
      <c r="E308" s="17" t="s">
        <v>48</v>
      </c>
      <c r="F308" s="4">
        <v>1</v>
      </c>
      <c r="G308" s="17" t="s">
        <v>419</v>
      </c>
      <c r="H308" s="16" t="s">
        <v>48</v>
      </c>
      <c r="I308" s="4"/>
      <c r="J308" s="4"/>
      <c r="K308" s="5"/>
    </row>
    <row r="309" spans="1:14" ht="24">
      <c r="A309" s="4" t="s">
        <v>48</v>
      </c>
      <c r="B309" s="16" t="s">
        <v>48</v>
      </c>
      <c r="C309" s="4" t="s">
        <v>48</v>
      </c>
      <c r="D309" s="4" t="s">
        <v>48</v>
      </c>
      <c r="E309" s="17" t="s">
        <v>48</v>
      </c>
      <c r="F309" s="4">
        <v>2</v>
      </c>
      <c r="G309" s="17" t="s">
        <v>420</v>
      </c>
      <c r="H309" s="16" t="s">
        <v>48</v>
      </c>
      <c r="I309" s="4"/>
      <c r="J309" s="4"/>
      <c r="K309" s="5"/>
    </row>
    <row r="310" spans="1:14" ht="36">
      <c r="A310" s="4" t="s">
        <v>48</v>
      </c>
      <c r="B310" s="16" t="s">
        <v>48</v>
      </c>
      <c r="C310" s="4" t="s">
        <v>48</v>
      </c>
      <c r="D310" s="4" t="s">
        <v>48</v>
      </c>
      <c r="E310" s="17" t="s">
        <v>48</v>
      </c>
      <c r="F310" s="4">
        <v>3</v>
      </c>
      <c r="G310" s="17" t="s">
        <v>421</v>
      </c>
      <c r="H310" s="16" t="s">
        <v>48</v>
      </c>
      <c r="I310" s="4"/>
      <c r="J310" s="4"/>
      <c r="K310" s="5"/>
    </row>
    <row r="311" spans="1:14">
      <c r="A311" s="4" t="s">
        <v>422</v>
      </c>
      <c r="B311" s="16" t="s">
        <v>423</v>
      </c>
      <c r="C311" s="4" t="s">
        <v>318</v>
      </c>
      <c r="D311" s="16" t="s">
        <v>48</v>
      </c>
      <c r="E311" s="17" t="s">
        <v>48</v>
      </c>
      <c r="F311" s="16" t="s">
        <v>48</v>
      </c>
      <c r="G311" s="17" t="s">
        <v>48</v>
      </c>
      <c r="H311" s="16" t="s">
        <v>48</v>
      </c>
      <c r="I311" s="16" t="s">
        <v>48</v>
      </c>
      <c r="J311" s="16" t="s">
        <v>48</v>
      </c>
      <c r="K311" s="16" t="s">
        <v>48</v>
      </c>
    </row>
    <row r="312" spans="1:14" ht="24">
      <c r="A312" s="4" t="s">
        <v>48</v>
      </c>
      <c r="B312" s="16" t="s">
        <v>48</v>
      </c>
      <c r="C312" s="4" t="s">
        <v>48</v>
      </c>
      <c r="D312" s="4" t="s">
        <v>49</v>
      </c>
      <c r="E312" s="17" t="s">
        <v>424</v>
      </c>
      <c r="F312" s="4" t="s">
        <v>48</v>
      </c>
      <c r="G312" s="17" t="s">
        <v>425</v>
      </c>
      <c r="H312" s="16" t="s">
        <v>48</v>
      </c>
      <c r="I312" s="4">
        <v>4</v>
      </c>
      <c r="J312" s="4">
        <v>1</v>
      </c>
      <c r="K312" s="5">
        <v>0.25</v>
      </c>
    </row>
    <row r="313" spans="1:14">
      <c r="A313" s="4" t="s">
        <v>48</v>
      </c>
      <c r="B313" s="16" t="s">
        <v>48</v>
      </c>
      <c r="C313" s="4" t="s">
        <v>48</v>
      </c>
      <c r="D313" s="4" t="s">
        <v>49</v>
      </c>
      <c r="E313" s="17" t="s">
        <v>426</v>
      </c>
      <c r="F313" s="4" t="s">
        <v>48</v>
      </c>
      <c r="G313" s="17" t="s">
        <v>48</v>
      </c>
      <c r="H313" s="16" t="s">
        <v>48</v>
      </c>
      <c r="I313" s="4">
        <v>4</v>
      </c>
      <c r="J313" s="4">
        <v>1</v>
      </c>
      <c r="K313" s="5">
        <v>0.25</v>
      </c>
    </row>
    <row r="314" spans="1:14">
      <c r="A314" s="4" t="s">
        <v>48</v>
      </c>
      <c r="B314" s="16" t="s">
        <v>48</v>
      </c>
      <c r="C314" s="4" t="s">
        <v>48</v>
      </c>
      <c r="D314" s="4" t="s">
        <v>49</v>
      </c>
      <c r="E314" s="17" t="s">
        <v>427</v>
      </c>
      <c r="F314" s="4" t="s">
        <v>48</v>
      </c>
      <c r="G314" s="17" t="s">
        <v>48</v>
      </c>
      <c r="H314" s="16" t="s">
        <v>48</v>
      </c>
      <c r="I314" s="4">
        <v>4</v>
      </c>
      <c r="J314" s="4">
        <v>1</v>
      </c>
      <c r="K314" s="5">
        <v>0.25</v>
      </c>
    </row>
    <row r="315" spans="1:14">
      <c r="A315" s="4" t="s">
        <v>48</v>
      </c>
      <c r="B315" s="16" t="s">
        <v>48</v>
      </c>
      <c r="C315" s="4" t="s">
        <v>48</v>
      </c>
      <c r="D315" s="4" t="s">
        <v>49</v>
      </c>
      <c r="E315" s="17" t="s">
        <v>428</v>
      </c>
      <c r="F315" s="4" t="s">
        <v>48</v>
      </c>
      <c r="G315" s="17" t="s">
        <v>48</v>
      </c>
      <c r="H315" s="16" t="s">
        <v>48</v>
      </c>
      <c r="I315" s="4">
        <v>4</v>
      </c>
      <c r="J315" s="4">
        <v>1</v>
      </c>
      <c r="K315" s="5">
        <v>0.25</v>
      </c>
    </row>
    <row r="316" spans="1:14">
      <c r="A316" s="4" t="s">
        <v>48</v>
      </c>
      <c r="B316" s="16" t="s">
        <v>48</v>
      </c>
      <c r="C316" s="4" t="s">
        <v>48</v>
      </c>
      <c r="D316" s="4" t="s">
        <v>48</v>
      </c>
      <c r="E316" s="17" t="s">
        <v>48</v>
      </c>
      <c r="F316" s="4" t="s">
        <v>48</v>
      </c>
      <c r="G316" s="17" t="s">
        <v>48</v>
      </c>
      <c r="H316" s="16" t="s">
        <v>48</v>
      </c>
      <c r="I316" s="4"/>
      <c r="J316" s="4"/>
      <c r="K316" s="5"/>
    </row>
    <row r="317" spans="1:14">
      <c r="A317" s="4" t="s">
        <v>48</v>
      </c>
      <c r="B317" s="16" t="s">
        <v>48</v>
      </c>
      <c r="C317" s="4" t="s">
        <v>48</v>
      </c>
      <c r="D317" s="4" t="s">
        <v>48</v>
      </c>
      <c r="F317" s="4" t="s">
        <v>48</v>
      </c>
      <c r="G317" s="17" t="s">
        <v>48</v>
      </c>
      <c r="H317" s="16" t="s">
        <v>48</v>
      </c>
      <c r="I317" s="4"/>
      <c r="J317" s="4"/>
      <c r="K317" s="5"/>
    </row>
    <row r="318" spans="1:14" ht="60">
      <c r="A318" s="12" t="s">
        <v>32</v>
      </c>
      <c r="B318" s="12" t="s">
        <v>33</v>
      </c>
      <c r="C318" s="12" t="s">
        <v>34</v>
      </c>
      <c r="D318" s="12" t="s">
        <v>35</v>
      </c>
      <c r="E318" s="12" t="s">
        <v>36</v>
      </c>
      <c r="F318" s="12" t="s">
        <v>37</v>
      </c>
      <c r="G318" s="12" t="s">
        <v>38</v>
      </c>
      <c r="H318" s="12" t="s">
        <v>39</v>
      </c>
      <c r="I318" s="12" t="s">
        <v>40</v>
      </c>
      <c r="J318" s="12" t="s">
        <v>41</v>
      </c>
      <c r="K318" s="12" t="s">
        <v>42</v>
      </c>
      <c r="L318" s="13" t="s">
        <v>429</v>
      </c>
      <c r="M318" s="14" t="s">
        <v>44</v>
      </c>
      <c r="N318" s="15">
        <f>SUM(K319:K323)</f>
        <v>2</v>
      </c>
    </row>
    <row r="319" spans="1:14">
      <c r="A319" s="4" t="s">
        <v>430</v>
      </c>
      <c r="B319" s="16" t="s">
        <v>431</v>
      </c>
      <c r="C319" s="4" t="s">
        <v>432</v>
      </c>
      <c r="D319" s="16" t="s">
        <v>48</v>
      </c>
      <c r="E319" s="17" t="s">
        <v>48</v>
      </c>
      <c r="F319" s="16" t="s">
        <v>48</v>
      </c>
      <c r="G319" s="17" t="s">
        <v>48</v>
      </c>
      <c r="H319" s="16" t="s">
        <v>48</v>
      </c>
      <c r="I319" s="16" t="s">
        <v>48</v>
      </c>
      <c r="J319" s="16" t="s">
        <v>48</v>
      </c>
      <c r="K319" s="16" t="s">
        <v>48</v>
      </c>
    </row>
    <row r="320" spans="1:14">
      <c r="A320" s="4" t="s">
        <v>48</v>
      </c>
      <c r="B320" s="16" t="s">
        <v>48</v>
      </c>
      <c r="C320" s="4" t="s">
        <v>48</v>
      </c>
      <c r="D320" s="4" t="s">
        <v>49</v>
      </c>
      <c r="E320" s="17" t="s">
        <v>433</v>
      </c>
      <c r="F320" s="4" t="s">
        <v>48</v>
      </c>
      <c r="G320" s="17" t="s">
        <v>48</v>
      </c>
      <c r="H320" s="16" t="s">
        <v>48</v>
      </c>
      <c r="I320" s="4">
        <v>1</v>
      </c>
      <c r="J320" s="4">
        <v>1</v>
      </c>
      <c r="K320" s="5">
        <v>1</v>
      </c>
    </row>
    <row r="321" spans="1:14" ht="24">
      <c r="A321" s="4" t="s">
        <v>48</v>
      </c>
      <c r="B321" s="16" t="s">
        <v>48</v>
      </c>
      <c r="C321" s="4" t="s">
        <v>48</v>
      </c>
      <c r="D321" s="4" t="s">
        <v>49</v>
      </c>
      <c r="E321" s="17" t="s">
        <v>434</v>
      </c>
      <c r="F321" s="4" t="s">
        <v>48</v>
      </c>
      <c r="G321" s="17" t="s">
        <v>435</v>
      </c>
      <c r="H321" s="16" t="s">
        <v>48</v>
      </c>
      <c r="I321" s="4">
        <v>2</v>
      </c>
      <c r="J321" s="4">
        <v>6</v>
      </c>
      <c r="K321" s="5">
        <v>1</v>
      </c>
    </row>
    <row r="322" spans="1:14">
      <c r="A322" s="4" t="s">
        <v>48</v>
      </c>
      <c r="B322" s="16" t="s">
        <v>48</v>
      </c>
      <c r="C322" s="4" t="s">
        <v>48</v>
      </c>
      <c r="D322" s="4" t="s">
        <v>48</v>
      </c>
      <c r="E322" s="17" t="s">
        <v>48</v>
      </c>
      <c r="F322" s="4" t="s">
        <v>48</v>
      </c>
      <c r="G322" s="17" t="s">
        <v>48</v>
      </c>
      <c r="H322" s="16" t="s">
        <v>48</v>
      </c>
      <c r="I322" s="4"/>
      <c r="J322" s="4"/>
      <c r="K322" s="5"/>
    </row>
    <row r="323" spans="1:14">
      <c r="A323" s="4" t="s">
        <v>48</v>
      </c>
      <c r="B323" s="16" t="s">
        <v>48</v>
      </c>
      <c r="C323" s="4" t="s">
        <v>48</v>
      </c>
      <c r="D323" s="4" t="s">
        <v>48</v>
      </c>
      <c r="E323" s="17" t="s">
        <v>48</v>
      </c>
      <c r="F323" s="4" t="s">
        <v>48</v>
      </c>
      <c r="G323" s="17" t="s">
        <v>48</v>
      </c>
      <c r="H323" s="16" t="s">
        <v>48</v>
      </c>
      <c r="I323" s="4"/>
      <c r="J323" s="4"/>
      <c r="K323" s="5"/>
    </row>
    <row r="324" spans="1:14" ht="60">
      <c r="A324" s="12" t="s">
        <v>32</v>
      </c>
      <c r="B324" s="12" t="s">
        <v>33</v>
      </c>
      <c r="C324" s="12" t="s">
        <v>34</v>
      </c>
      <c r="D324" s="12" t="s">
        <v>35</v>
      </c>
      <c r="E324" s="12" t="s">
        <v>36</v>
      </c>
      <c r="F324" s="12" t="s">
        <v>37</v>
      </c>
      <c r="G324" s="12" t="s">
        <v>38</v>
      </c>
      <c r="H324" s="12" t="s">
        <v>39</v>
      </c>
      <c r="I324" s="12" t="s">
        <v>40</v>
      </c>
      <c r="J324" s="12" t="s">
        <v>41</v>
      </c>
      <c r="K324" s="12" t="s">
        <v>42</v>
      </c>
      <c r="L324" s="13" t="s">
        <v>436</v>
      </c>
      <c r="M324" s="14" t="s">
        <v>44</v>
      </c>
      <c r="N324" s="15">
        <f>SUM(K325:K326)</f>
        <v>0</v>
      </c>
    </row>
    <row r="325" spans="1:14">
      <c r="A325" s="4" t="s">
        <v>48</v>
      </c>
      <c r="B325" s="16" t="s">
        <v>48</v>
      </c>
      <c r="C325" s="4" t="s">
        <v>48</v>
      </c>
      <c r="D325" s="4" t="s">
        <v>48</v>
      </c>
      <c r="E325" s="17" t="s">
        <v>48</v>
      </c>
      <c r="F325" s="4" t="s">
        <v>48</v>
      </c>
      <c r="G325" s="17" t="s">
        <v>48</v>
      </c>
      <c r="H325" s="16" t="s">
        <v>48</v>
      </c>
      <c r="I325" s="4"/>
      <c r="J325" s="4"/>
      <c r="K325" s="5"/>
    </row>
    <row r="326" spans="1:14">
      <c r="A326" s="4" t="s">
        <v>48</v>
      </c>
      <c r="B326" s="16" t="s">
        <v>48</v>
      </c>
      <c r="C326" s="4" t="s">
        <v>48</v>
      </c>
      <c r="D326" s="4" t="s">
        <v>48</v>
      </c>
      <c r="E326" s="17" t="s">
        <v>48</v>
      </c>
      <c r="F326" s="4" t="s">
        <v>48</v>
      </c>
      <c r="G326" s="17" t="s">
        <v>48</v>
      </c>
      <c r="H326" s="16" t="s">
        <v>48</v>
      </c>
      <c r="I326" s="4"/>
      <c r="J326" s="4"/>
      <c r="K326" s="5"/>
    </row>
    <row r="327" spans="1:14" ht="60">
      <c r="A327" s="12" t="s">
        <v>32</v>
      </c>
      <c r="B327" s="12" t="s">
        <v>33</v>
      </c>
      <c r="C327" s="12" t="s">
        <v>34</v>
      </c>
      <c r="D327" s="12" t="s">
        <v>35</v>
      </c>
      <c r="E327" s="12" t="s">
        <v>36</v>
      </c>
      <c r="F327" s="12" t="s">
        <v>37</v>
      </c>
      <c r="G327" s="12" t="s">
        <v>38</v>
      </c>
      <c r="H327" s="12" t="s">
        <v>39</v>
      </c>
      <c r="I327" s="12" t="s">
        <v>40</v>
      </c>
      <c r="J327" s="12" t="s">
        <v>41</v>
      </c>
      <c r="K327" s="12" t="s">
        <v>42</v>
      </c>
      <c r="L327" s="13" t="s">
        <v>437</v>
      </c>
      <c r="M327" s="14" t="s">
        <v>44</v>
      </c>
      <c r="N327" s="15">
        <f>SUM(K328:K329)</f>
        <v>0</v>
      </c>
    </row>
    <row r="328" spans="1:14">
      <c r="A328" s="4" t="s">
        <v>48</v>
      </c>
      <c r="B328" s="16" t="s">
        <v>48</v>
      </c>
      <c r="C328" s="4" t="s">
        <v>48</v>
      </c>
      <c r="D328" s="4" t="s">
        <v>48</v>
      </c>
      <c r="E328" s="17" t="s">
        <v>48</v>
      </c>
      <c r="F328" s="4" t="s">
        <v>48</v>
      </c>
      <c r="G328" s="17" t="s">
        <v>48</v>
      </c>
      <c r="H328" s="16" t="s">
        <v>48</v>
      </c>
      <c r="I328" s="4"/>
      <c r="J328" s="4"/>
      <c r="K328" s="5"/>
    </row>
    <row r="329" spans="1:14">
      <c r="A329" s="18" t="s">
        <v>48</v>
      </c>
      <c r="B329" s="18" t="s">
        <v>48</v>
      </c>
      <c r="C329" s="18" t="s">
        <v>48</v>
      </c>
      <c r="D329" s="18" t="s">
        <v>48</v>
      </c>
      <c r="E329" s="19" t="s">
        <v>48</v>
      </c>
      <c r="F329" s="18" t="s">
        <v>48</v>
      </c>
      <c r="G329" s="19" t="s">
        <v>48</v>
      </c>
      <c r="H329" s="18" t="s">
        <v>48</v>
      </c>
      <c r="I329" s="18" t="s">
        <v>48</v>
      </c>
      <c r="J329" s="18" t="s">
        <v>48</v>
      </c>
      <c r="K329" s="18" t="s">
        <v>48</v>
      </c>
    </row>
    <row r="330" spans="1:14">
      <c r="E330" s="3"/>
      <c r="G330" s="3"/>
    </row>
    <row r="331" spans="1:14">
      <c r="E331" s="3"/>
      <c r="G331" s="3"/>
    </row>
    <row r="332" spans="1:14" ht="40.5">
      <c r="E332" s="3"/>
      <c r="G332" s="3"/>
      <c r="L332" s="13" t="s">
        <v>438</v>
      </c>
      <c r="M332" s="14" t="s">
        <v>44</v>
      </c>
      <c r="N332" s="15">
        <f>SUM(N1:N330)</f>
        <v>100</v>
      </c>
    </row>
    <row r="333" spans="1:14">
      <c r="E333" s="3"/>
      <c r="G333" s="3"/>
    </row>
    <row r="334" spans="1:14">
      <c r="E334" s="3"/>
      <c r="G334" s="3"/>
    </row>
    <row r="335" spans="1:14">
      <c r="E335" s="3"/>
      <c r="G335" s="3"/>
    </row>
    <row r="336" spans="1:14">
      <c r="E336" s="3"/>
      <c r="G336" s="3"/>
    </row>
    <row r="337" spans="5:7">
      <c r="E337" s="3"/>
      <c r="G337" s="3"/>
    </row>
    <row r="338" spans="5:7">
      <c r="E338" s="3"/>
      <c r="G338" s="3"/>
    </row>
    <row r="339" spans="5:7">
      <c r="E339" s="3"/>
      <c r="G339" s="3"/>
    </row>
    <row r="340" spans="5:7">
      <c r="E340" s="3"/>
      <c r="G340" s="3"/>
    </row>
    <row r="341" spans="5:7">
      <c r="E341" s="3"/>
      <c r="G341" s="3"/>
    </row>
    <row r="342" spans="5:7">
      <c r="E342" s="3"/>
      <c r="G342" s="3"/>
    </row>
    <row r="343" spans="5:7">
      <c r="E343" s="3"/>
      <c r="G343" s="3"/>
    </row>
    <row r="344" spans="5:7">
      <c r="E344" s="3"/>
      <c r="G344" s="3"/>
    </row>
    <row r="345" spans="5:7">
      <c r="E345" s="3"/>
      <c r="G345" s="3"/>
    </row>
    <row r="346" spans="5:7">
      <c r="E346" s="3"/>
      <c r="G346" s="3"/>
    </row>
    <row r="347" spans="5:7">
      <c r="E347" s="3"/>
      <c r="G347" s="3"/>
    </row>
    <row r="348" spans="5:7">
      <c r="E348" s="3"/>
      <c r="G348" s="3"/>
    </row>
    <row r="349" spans="5:7">
      <c r="E349" s="3"/>
      <c r="G349" s="3"/>
    </row>
    <row r="350" spans="5:7">
      <c r="E350" s="3"/>
      <c r="G350" s="3"/>
    </row>
    <row r="351" spans="5:7">
      <c r="E351" s="3"/>
      <c r="G351" s="3"/>
    </row>
    <row r="352" spans="5:7">
      <c r="E352" s="3"/>
      <c r="G352" s="3"/>
    </row>
    <row r="353" spans="5:7">
      <c r="E353" s="3"/>
      <c r="G353" s="3"/>
    </row>
    <row r="354" spans="5:7">
      <c r="E354" s="3"/>
      <c r="G354" s="3"/>
    </row>
    <row r="355" spans="5:7">
      <c r="E355" s="3"/>
      <c r="G355" s="3"/>
    </row>
    <row r="356" spans="5:7">
      <c r="E356" s="3"/>
      <c r="G356" s="3"/>
    </row>
    <row r="357" spans="5:7">
      <c r="E357" s="3"/>
      <c r="G357" s="3"/>
    </row>
    <row r="358" spans="5:7">
      <c r="E358" s="3"/>
      <c r="G358" s="3"/>
    </row>
    <row r="359" spans="5:7">
      <c r="E359" s="3"/>
      <c r="G359" s="3"/>
    </row>
    <row r="360" spans="5:7">
      <c r="E360" s="3"/>
      <c r="G360" s="3"/>
    </row>
    <row r="361" spans="5:7">
      <c r="E361" s="3"/>
      <c r="G361" s="3"/>
    </row>
    <row r="362" spans="5:7">
      <c r="E362" s="3"/>
      <c r="G362" s="3"/>
    </row>
    <row r="363" spans="5:7">
      <c r="E363" s="3"/>
      <c r="G363" s="3"/>
    </row>
    <row r="364" spans="5:7">
      <c r="E364" s="3"/>
      <c r="G364" s="3"/>
    </row>
    <row r="365" spans="5:7">
      <c r="E365" s="3"/>
      <c r="G365" s="3"/>
    </row>
    <row r="366" spans="5:7">
      <c r="E366" s="3"/>
      <c r="G366" s="3"/>
    </row>
    <row r="367" spans="5:7">
      <c r="E367" s="3"/>
      <c r="G367" s="3"/>
    </row>
    <row r="368" spans="5:7">
      <c r="E368" s="3"/>
      <c r="G368" s="3"/>
    </row>
    <row r="369" spans="5:7">
      <c r="E369" s="3"/>
      <c r="G369" s="3"/>
    </row>
    <row r="370" spans="5:7">
      <c r="E370" s="3"/>
      <c r="G370" s="3"/>
    </row>
    <row r="371" spans="5:7">
      <c r="E371" s="3"/>
      <c r="G371" s="3"/>
    </row>
    <row r="372" spans="5:7">
      <c r="E372" s="3"/>
      <c r="G372" s="3"/>
    </row>
    <row r="373" spans="5:7">
      <c r="E373" s="3"/>
      <c r="G373" s="3"/>
    </row>
    <row r="374" spans="5:7">
      <c r="E374" s="3"/>
      <c r="G374" s="3"/>
    </row>
    <row r="375" spans="5:7">
      <c r="E375" s="3"/>
      <c r="G375" s="3"/>
    </row>
    <row r="376" spans="5:7">
      <c r="E376" s="3"/>
      <c r="G376" s="3"/>
    </row>
    <row r="377" spans="5:7">
      <c r="E377" s="3"/>
      <c r="G377" s="3"/>
    </row>
    <row r="378" spans="5:7">
      <c r="E378" s="3"/>
      <c r="G378" s="3"/>
    </row>
    <row r="379" spans="5:7">
      <c r="E379" s="3"/>
      <c r="G379" s="3"/>
    </row>
    <row r="380" spans="5:7">
      <c r="E380" s="3"/>
      <c r="G380" s="3"/>
    </row>
    <row r="381" spans="5:7">
      <c r="E381" s="3"/>
      <c r="G381" s="3"/>
    </row>
    <row r="382" spans="5:7">
      <c r="E382" s="3"/>
      <c r="G382" s="3"/>
    </row>
    <row r="383" spans="5:7">
      <c r="E383" s="3"/>
      <c r="G383" s="3"/>
    </row>
    <row r="384" spans="5:7">
      <c r="E384" s="3"/>
      <c r="G384" s="3"/>
    </row>
    <row r="385" spans="5:7">
      <c r="E385" s="3"/>
      <c r="G385" s="3"/>
    </row>
    <row r="386" spans="5:7">
      <c r="E386" s="3"/>
      <c r="G386" s="3"/>
    </row>
    <row r="387" spans="5:7">
      <c r="E387" s="3"/>
      <c r="G387" s="3"/>
    </row>
    <row r="388" spans="5:7">
      <c r="E388" s="3"/>
      <c r="G388" s="3"/>
    </row>
    <row r="389" spans="5:7">
      <c r="E389" s="3"/>
      <c r="G389" s="3"/>
    </row>
    <row r="390" spans="5:7">
      <c r="E390" s="3"/>
      <c r="G390" s="3"/>
    </row>
    <row r="391" spans="5:7">
      <c r="E391" s="3"/>
      <c r="G391" s="3"/>
    </row>
    <row r="392" spans="5:7">
      <c r="E392" s="3"/>
      <c r="G392" s="3"/>
    </row>
    <row r="393" spans="5:7">
      <c r="E393" s="3"/>
      <c r="G393" s="3"/>
    </row>
    <row r="394" spans="5:7">
      <c r="E394" s="3"/>
      <c r="G394" s="3"/>
    </row>
    <row r="395" spans="5:7">
      <c r="E395" s="3"/>
      <c r="G395" s="3"/>
    </row>
    <row r="396" spans="5:7">
      <c r="E396" s="3"/>
      <c r="G396" s="3"/>
    </row>
    <row r="397" spans="5:7">
      <c r="E397" s="3"/>
      <c r="G397" s="3"/>
    </row>
    <row r="398" spans="5:7">
      <c r="E398" s="3"/>
      <c r="G398" s="3"/>
    </row>
    <row r="399" spans="5:7">
      <c r="E399" s="3"/>
      <c r="G399" s="3"/>
    </row>
    <row r="400" spans="5:7">
      <c r="E400" s="3"/>
      <c r="G400" s="3"/>
    </row>
    <row r="401" spans="5:7">
      <c r="E401" s="3"/>
      <c r="G401" s="3"/>
    </row>
    <row r="402" spans="5:7">
      <c r="E402" s="3"/>
      <c r="G402" s="3"/>
    </row>
    <row r="403" spans="5:7">
      <c r="E403" s="3"/>
      <c r="G403" s="3"/>
    </row>
    <row r="404" spans="5:7">
      <c r="E404" s="3"/>
      <c r="G404" s="3"/>
    </row>
    <row r="405" spans="5:7">
      <c r="E405" s="3"/>
      <c r="G405" s="3"/>
    </row>
    <row r="406" spans="5:7">
      <c r="E406" s="3"/>
      <c r="G406" s="3"/>
    </row>
    <row r="407" spans="5:7">
      <c r="E407" s="3"/>
      <c r="G407" s="3"/>
    </row>
    <row r="408" spans="5:7">
      <c r="E408" s="3"/>
      <c r="G408" s="3"/>
    </row>
    <row r="409" spans="5:7">
      <c r="E409" s="3"/>
      <c r="G409" s="3"/>
    </row>
    <row r="410" spans="5:7">
      <c r="E410" s="3"/>
      <c r="G410" s="3"/>
    </row>
    <row r="411" spans="5:7">
      <c r="E411" s="3"/>
      <c r="G411" s="3"/>
    </row>
    <row r="412" spans="5:7">
      <c r="E412" s="3"/>
      <c r="G412" s="3"/>
    </row>
    <row r="413" spans="5:7">
      <c r="E413" s="3"/>
      <c r="G413" s="3"/>
    </row>
    <row r="414" spans="5:7">
      <c r="E414" s="3"/>
      <c r="G414" s="3"/>
    </row>
    <row r="415" spans="5:7">
      <c r="E415" s="3"/>
      <c r="G415" s="3"/>
    </row>
    <row r="416" spans="5:7">
      <c r="E416" s="3"/>
      <c r="G416" s="3"/>
    </row>
    <row r="417" spans="5:7">
      <c r="E417" s="3"/>
      <c r="G417" s="3"/>
    </row>
    <row r="418" spans="5:7">
      <c r="E418" s="3"/>
      <c r="G418" s="3"/>
    </row>
    <row r="419" spans="5:7">
      <c r="E419" s="3"/>
      <c r="G419" s="3"/>
    </row>
    <row r="420" spans="5:7">
      <c r="E420" s="3"/>
      <c r="G420" s="3"/>
    </row>
    <row r="421" spans="5:7">
      <c r="E421" s="3"/>
      <c r="G421" s="3"/>
    </row>
    <row r="422" spans="5:7">
      <c r="E422" s="3"/>
      <c r="G422" s="3"/>
    </row>
    <row r="423" spans="5:7">
      <c r="E423" s="3"/>
      <c r="G423" s="3"/>
    </row>
    <row r="424" spans="5:7">
      <c r="E424" s="3"/>
      <c r="G424" s="3"/>
    </row>
    <row r="425" spans="5:7">
      <c r="E425" s="3"/>
      <c r="G425" s="3"/>
    </row>
    <row r="426" spans="5:7">
      <c r="E426" s="3"/>
      <c r="G426" s="3"/>
    </row>
    <row r="427" spans="5:7">
      <c r="E427" s="3"/>
      <c r="G427" s="3"/>
    </row>
    <row r="428" spans="5:7">
      <c r="E428" s="3"/>
      <c r="G428" s="3"/>
    </row>
    <row r="429" spans="5:7">
      <c r="E429" s="3"/>
      <c r="G429" s="3"/>
    </row>
    <row r="430" spans="5:7">
      <c r="E430" s="3"/>
      <c r="G430" s="3"/>
    </row>
    <row r="431" spans="5:7">
      <c r="E431" s="3"/>
      <c r="G431" s="3"/>
    </row>
    <row r="432" spans="5:7">
      <c r="E432" s="3"/>
      <c r="G432" s="3"/>
    </row>
    <row r="433" spans="5:7">
      <c r="E433" s="3"/>
      <c r="G433" s="3"/>
    </row>
    <row r="434" spans="5:7">
      <c r="E434" s="3"/>
      <c r="G434" s="3"/>
    </row>
    <row r="435" spans="5:7">
      <c r="E435" s="3"/>
      <c r="G435" s="3"/>
    </row>
    <row r="436" spans="5:7">
      <c r="E436" s="3"/>
      <c r="G436" s="3"/>
    </row>
    <row r="437" spans="5:7">
      <c r="E437" s="3"/>
      <c r="G437" s="3"/>
    </row>
    <row r="438" spans="5:7">
      <c r="E438" s="3"/>
      <c r="G438" s="3"/>
    </row>
    <row r="439" spans="5:7">
      <c r="E439" s="3"/>
      <c r="G439" s="3"/>
    </row>
    <row r="440" spans="5:7">
      <c r="E440" s="3"/>
      <c r="G440" s="3"/>
    </row>
    <row r="441" spans="5:7">
      <c r="E441" s="3"/>
      <c r="G441" s="3"/>
    </row>
    <row r="442" spans="5:7">
      <c r="E442" s="3"/>
      <c r="G442" s="3"/>
    </row>
    <row r="443" spans="5:7">
      <c r="E443" s="3"/>
      <c r="G443" s="3"/>
    </row>
    <row r="444" spans="5:7">
      <c r="E444" s="3"/>
      <c r="G444" s="3"/>
    </row>
    <row r="445" spans="5:7">
      <c r="E445" s="3"/>
      <c r="G445" s="3"/>
    </row>
    <row r="446" spans="5:7">
      <c r="E446" s="3"/>
      <c r="G446" s="3"/>
    </row>
    <row r="447" spans="5:7">
      <c r="E447" s="3"/>
      <c r="G447" s="3"/>
    </row>
    <row r="448" spans="5:7">
      <c r="E448" s="3"/>
      <c r="G448" s="3"/>
    </row>
    <row r="449" spans="5:7">
      <c r="E449" s="3"/>
      <c r="G449" s="3"/>
    </row>
    <row r="450" spans="5:7">
      <c r="E450" s="3"/>
      <c r="G450" s="3"/>
    </row>
    <row r="451" spans="5:7">
      <c r="E451" s="3"/>
      <c r="G451" s="3"/>
    </row>
    <row r="452" spans="5:7">
      <c r="E452" s="3"/>
      <c r="G452" s="3"/>
    </row>
    <row r="453" spans="5:7">
      <c r="E453" s="3"/>
      <c r="G453" s="3"/>
    </row>
    <row r="454" spans="5:7">
      <c r="E454" s="3"/>
      <c r="G454" s="3"/>
    </row>
    <row r="455" spans="5:7">
      <c r="E455" s="3"/>
      <c r="G455" s="3"/>
    </row>
    <row r="456" spans="5:7">
      <c r="E456" s="3"/>
      <c r="G456" s="3"/>
    </row>
    <row r="457" spans="5:7">
      <c r="E457" s="3"/>
      <c r="G457" s="3"/>
    </row>
    <row r="458" spans="5:7">
      <c r="E458" s="3"/>
      <c r="G458" s="3"/>
    </row>
    <row r="459" spans="5:7">
      <c r="E459" s="3"/>
      <c r="G459" s="3"/>
    </row>
    <row r="460" spans="5:7">
      <c r="E460" s="3"/>
      <c r="G460" s="3"/>
    </row>
    <row r="461" spans="5:7">
      <c r="E461" s="3"/>
      <c r="G461" s="3"/>
    </row>
    <row r="462" spans="5:7">
      <c r="E462" s="3"/>
      <c r="G462" s="3"/>
    </row>
    <row r="463" spans="5:7">
      <c r="E463" s="3"/>
      <c r="G463" s="3"/>
    </row>
    <row r="464" spans="5:7">
      <c r="E464" s="3"/>
      <c r="G464" s="3"/>
    </row>
    <row r="465" spans="5:7">
      <c r="E465" s="3"/>
      <c r="G465" s="3"/>
    </row>
    <row r="466" spans="5:7">
      <c r="E466" s="3"/>
      <c r="G466" s="3"/>
    </row>
    <row r="467" spans="5:7">
      <c r="E467" s="3"/>
      <c r="G467" s="3"/>
    </row>
    <row r="468" spans="5:7">
      <c r="E468" s="3"/>
      <c r="G468" s="3"/>
    </row>
    <row r="469" spans="5:7">
      <c r="E469" s="3"/>
      <c r="G469" s="3"/>
    </row>
    <row r="470" spans="5:7">
      <c r="E470" s="3"/>
      <c r="G470" s="3"/>
    </row>
    <row r="471" spans="5:7">
      <c r="E471" s="3"/>
      <c r="G471" s="3"/>
    </row>
    <row r="472" spans="5:7">
      <c r="E472" s="3"/>
      <c r="G472" s="3"/>
    </row>
    <row r="473" spans="5:7">
      <c r="E473" s="3"/>
      <c r="G473" s="3"/>
    </row>
    <row r="474" spans="5:7">
      <c r="E474" s="3"/>
      <c r="G474" s="3"/>
    </row>
    <row r="475" spans="5:7">
      <c r="E475" s="3"/>
      <c r="G475" s="3"/>
    </row>
    <row r="476" spans="5:7">
      <c r="E476" s="3"/>
      <c r="G476" s="3"/>
    </row>
    <row r="477" spans="5:7">
      <c r="E477" s="3"/>
      <c r="G477" s="3"/>
    </row>
    <row r="478" spans="5:7">
      <c r="E478" s="3"/>
      <c r="G478" s="3"/>
    </row>
    <row r="479" spans="5:7">
      <c r="E479" s="3"/>
      <c r="G479" s="3"/>
    </row>
    <row r="480" spans="5:7">
      <c r="E480" s="3"/>
      <c r="G480" s="3"/>
    </row>
    <row r="481" spans="5:7">
      <c r="E481" s="3"/>
      <c r="G481" s="3"/>
    </row>
    <row r="482" spans="5:7">
      <c r="E482" s="3"/>
      <c r="G482" s="3"/>
    </row>
    <row r="483" spans="5:7">
      <c r="E483" s="3"/>
      <c r="G483" s="3"/>
    </row>
    <row r="484" spans="5:7">
      <c r="E484" s="3"/>
      <c r="G484" s="3"/>
    </row>
    <row r="485" spans="5:7">
      <c r="E485" s="3"/>
      <c r="G485" s="3"/>
    </row>
    <row r="486" spans="5:7">
      <c r="E486" s="3"/>
      <c r="G486" s="3"/>
    </row>
    <row r="487" spans="5:7">
      <c r="E487" s="3"/>
      <c r="G487" s="3"/>
    </row>
    <row r="488" spans="5:7">
      <c r="E488" s="3"/>
      <c r="G488" s="3"/>
    </row>
    <row r="489" spans="5:7">
      <c r="E489" s="3"/>
      <c r="G489" s="3"/>
    </row>
    <row r="490" spans="5:7">
      <c r="E490" s="3"/>
      <c r="G490" s="3"/>
    </row>
    <row r="491" spans="5:7">
      <c r="E491" s="3"/>
      <c r="G491" s="3"/>
    </row>
    <row r="492" spans="5:7">
      <c r="E492" s="3"/>
      <c r="G492" s="3"/>
    </row>
    <row r="493" spans="5:7">
      <c r="E493" s="3"/>
      <c r="G493" s="3"/>
    </row>
    <row r="494" spans="5:7">
      <c r="E494" s="3"/>
      <c r="G494" s="3"/>
    </row>
    <row r="495" spans="5:7">
      <c r="E495" s="3"/>
      <c r="G495" s="3"/>
    </row>
    <row r="496" spans="5:7">
      <c r="E496" s="3"/>
      <c r="G496" s="3"/>
    </row>
    <row r="497" spans="5:7">
      <c r="E497" s="3"/>
      <c r="G497" s="3"/>
    </row>
    <row r="498" spans="5:7">
      <c r="E498" s="3"/>
      <c r="G498" s="3"/>
    </row>
    <row r="499" spans="5:7">
      <c r="E499" s="3"/>
      <c r="G499" s="3"/>
    </row>
    <row r="500" spans="5:7">
      <c r="E500" s="3"/>
      <c r="G500" s="3"/>
    </row>
    <row r="501" spans="5:7">
      <c r="E501" s="3"/>
      <c r="G501" s="3"/>
    </row>
    <row r="502" spans="5:7">
      <c r="E502" s="3"/>
      <c r="G502" s="3"/>
    </row>
    <row r="503" spans="5:7">
      <c r="E503" s="3"/>
      <c r="G503" s="3"/>
    </row>
    <row r="504" spans="5:7">
      <c r="E504" s="3"/>
      <c r="G504" s="3"/>
    </row>
    <row r="505" spans="5:7">
      <c r="E505" s="3"/>
      <c r="G505" s="3"/>
    </row>
    <row r="506" spans="5:7">
      <c r="E506" s="3"/>
      <c r="G506" s="3"/>
    </row>
    <row r="507" spans="5:7">
      <c r="E507" s="3"/>
      <c r="G507" s="3"/>
    </row>
    <row r="508" spans="5:7">
      <c r="E508" s="3"/>
      <c r="G508" s="3"/>
    </row>
    <row r="509" spans="5:7">
      <c r="E509" s="3"/>
      <c r="G509" s="3"/>
    </row>
    <row r="510" spans="5:7">
      <c r="E510" s="3"/>
      <c r="G510" s="3"/>
    </row>
    <row r="511" spans="5:7">
      <c r="E511" s="3"/>
      <c r="G511" s="3"/>
    </row>
    <row r="512" spans="5:7">
      <c r="E512" s="3"/>
      <c r="G512" s="3"/>
    </row>
    <row r="513" spans="5:7">
      <c r="E513" s="3"/>
      <c r="G513" s="3"/>
    </row>
    <row r="514" spans="5:7">
      <c r="E514" s="3"/>
      <c r="G514" s="3"/>
    </row>
    <row r="515" spans="5:7">
      <c r="E515" s="3"/>
      <c r="G515" s="3"/>
    </row>
    <row r="516" spans="5:7">
      <c r="E516" s="3"/>
      <c r="G516" s="3"/>
    </row>
    <row r="517" spans="5:7">
      <c r="E517" s="3"/>
      <c r="G517" s="3"/>
    </row>
    <row r="518" spans="5:7">
      <c r="E518" s="3"/>
      <c r="G518" s="3"/>
    </row>
    <row r="519" spans="5:7">
      <c r="E519" s="3"/>
      <c r="G519" s="3"/>
    </row>
    <row r="520" spans="5:7">
      <c r="E520" s="3"/>
      <c r="G520" s="3"/>
    </row>
    <row r="521" spans="5:7">
      <c r="E521" s="3"/>
      <c r="G521" s="3"/>
    </row>
    <row r="522" spans="5:7">
      <c r="E522" s="3"/>
      <c r="G522" s="3"/>
    </row>
    <row r="523" spans="5:7">
      <c r="E523" s="3"/>
      <c r="G523" s="3"/>
    </row>
    <row r="524" spans="5:7">
      <c r="E524" s="3"/>
      <c r="G524" s="3"/>
    </row>
    <row r="525" spans="5:7">
      <c r="E525" s="3"/>
      <c r="G525" s="3"/>
    </row>
    <row r="526" spans="5:7">
      <c r="E526" s="3"/>
      <c r="G526" s="3"/>
    </row>
    <row r="527" spans="5:7">
      <c r="E527" s="3"/>
      <c r="G527" s="3"/>
    </row>
    <row r="528" spans="5:7">
      <c r="E528" s="3"/>
      <c r="G528" s="3"/>
    </row>
    <row r="529" spans="5:7">
      <c r="E529" s="3"/>
      <c r="G529" s="3"/>
    </row>
    <row r="530" spans="5:7">
      <c r="E530" s="3"/>
      <c r="G530" s="3"/>
    </row>
    <row r="531" spans="5:7">
      <c r="E531" s="3"/>
      <c r="G531" s="3"/>
    </row>
    <row r="532" spans="5:7">
      <c r="E532" s="3"/>
      <c r="G532" s="3"/>
    </row>
    <row r="533" spans="5:7">
      <c r="E533" s="3"/>
      <c r="G533" s="3"/>
    </row>
    <row r="534" spans="5:7">
      <c r="E534" s="3"/>
      <c r="G534" s="3"/>
    </row>
    <row r="535" spans="5:7">
      <c r="E535" s="3"/>
      <c r="G535" s="3"/>
    </row>
    <row r="536" spans="5:7">
      <c r="E536" s="3"/>
      <c r="G536" s="3"/>
    </row>
    <row r="537" spans="5:7">
      <c r="E537" s="3"/>
      <c r="G537" s="3"/>
    </row>
    <row r="538" spans="5:7">
      <c r="E538" s="3"/>
      <c r="G538" s="3"/>
    </row>
    <row r="539" spans="5:7">
      <c r="E539" s="3"/>
      <c r="G539" s="3"/>
    </row>
    <row r="540" spans="5:7">
      <c r="E540" s="3"/>
      <c r="G540" s="3"/>
    </row>
    <row r="541" spans="5:7">
      <c r="E541" s="3"/>
      <c r="G541" s="3"/>
    </row>
    <row r="542" spans="5:7">
      <c r="E542" s="3"/>
      <c r="G542" s="3"/>
    </row>
    <row r="543" spans="5:7">
      <c r="E543" s="3"/>
      <c r="G543" s="3"/>
    </row>
    <row r="544" spans="5:7">
      <c r="E544" s="3"/>
      <c r="G544" s="3"/>
    </row>
    <row r="545" spans="5:7">
      <c r="E545" s="3"/>
      <c r="G545" s="3"/>
    </row>
    <row r="546" spans="5:7">
      <c r="E546" s="3"/>
      <c r="G546" s="3"/>
    </row>
    <row r="547" spans="5:7">
      <c r="E547" s="3"/>
      <c r="G547" s="3"/>
    </row>
    <row r="548" spans="5:7">
      <c r="E548" s="3"/>
      <c r="G548" s="3"/>
    </row>
    <row r="549" spans="5:7">
      <c r="E549" s="3"/>
      <c r="G549" s="3"/>
    </row>
    <row r="550" spans="5:7">
      <c r="E550" s="3"/>
      <c r="G550" s="3"/>
    </row>
    <row r="551" spans="5:7">
      <c r="E551" s="3"/>
      <c r="G551" s="3"/>
    </row>
    <row r="552" spans="5:7">
      <c r="E552" s="3"/>
      <c r="G552" s="3"/>
    </row>
    <row r="553" spans="5:7">
      <c r="E553" s="3"/>
      <c r="G553" s="3"/>
    </row>
    <row r="554" spans="5:7">
      <c r="E554" s="3"/>
      <c r="G554" s="3"/>
    </row>
    <row r="555" spans="5:7">
      <c r="E555" s="3"/>
      <c r="G555" s="3"/>
    </row>
    <row r="556" spans="5:7">
      <c r="E556" s="3"/>
      <c r="G556" s="3"/>
    </row>
    <row r="557" spans="5:7">
      <c r="E557" s="3"/>
      <c r="G557" s="3"/>
    </row>
    <row r="558" spans="5:7">
      <c r="E558" s="3"/>
      <c r="G558" s="3"/>
    </row>
    <row r="559" spans="5:7">
      <c r="E559" s="3"/>
      <c r="G559" s="3"/>
    </row>
    <row r="560" spans="5:7">
      <c r="E560" s="3"/>
      <c r="G560" s="3"/>
    </row>
    <row r="561" spans="5:7">
      <c r="E561" s="3"/>
      <c r="G561" s="3"/>
    </row>
    <row r="562" spans="5:7">
      <c r="E562" s="3"/>
      <c r="G562" s="3"/>
    </row>
    <row r="563" spans="5:7">
      <c r="E563" s="3"/>
      <c r="G563" s="3"/>
    </row>
    <row r="564" spans="5:7">
      <c r="E564" s="3"/>
      <c r="G564" s="3"/>
    </row>
    <row r="565" spans="5:7">
      <c r="E565" s="3"/>
      <c r="G565" s="3"/>
    </row>
    <row r="566" spans="5:7">
      <c r="E566" s="3"/>
      <c r="G566" s="3"/>
    </row>
    <row r="567" spans="5:7">
      <c r="E567" s="3"/>
      <c r="G567" s="3"/>
    </row>
    <row r="568" spans="5:7">
      <c r="E568" s="3"/>
      <c r="G568" s="3"/>
    </row>
    <row r="569" spans="5:7">
      <c r="E569" s="3"/>
      <c r="G569" s="3"/>
    </row>
    <row r="570" spans="5:7">
      <c r="E570" s="3"/>
      <c r="G570" s="3"/>
    </row>
    <row r="571" spans="5:7">
      <c r="E571" s="3"/>
      <c r="G571" s="3"/>
    </row>
    <row r="572" spans="5:7">
      <c r="E572" s="3"/>
      <c r="G572" s="3"/>
    </row>
    <row r="573" spans="5:7">
      <c r="E573" s="3"/>
      <c r="G573" s="3"/>
    </row>
    <row r="574" spans="5:7">
      <c r="E574" s="3"/>
      <c r="G574" s="3"/>
    </row>
    <row r="575" spans="5:7">
      <c r="E575" s="3"/>
      <c r="G575" s="3"/>
    </row>
    <row r="576" spans="5:7">
      <c r="E576" s="3"/>
      <c r="G576" s="3"/>
    </row>
    <row r="577" spans="5:7">
      <c r="E577" s="3"/>
      <c r="G577" s="3"/>
    </row>
    <row r="578" spans="5:7">
      <c r="E578" s="3"/>
      <c r="G578" s="3"/>
    </row>
    <row r="579" spans="5:7">
      <c r="E579" s="3"/>
      <c r="G579" s="3"/>
    </row>
    <row r="580" spans="5:7">
      <c r="E580" s="3"/>
      <c r="G580" s="3"/>
    </row>
    <row r="581" spans="5:7">
      <c r="E581" s="3"/>
      <c r="G581" s="3"/>
    </row>
    <row r="582" spans="5:7">
      <c r="E582" s="3"/>
      <c r="G582" s="3"/>
    </row>
    <row r="583" spans="5:7">
      <c r="E583" s="3"/>
      <c r="G583" s="3"/>
    </row>
    <row r="584" spans="5:7">
      <c r="E584" s="3"/>
      <c r="G584" s="3"/>
    </row>
    <row r="585" spans="5:7">
      <c r="E585" s="3"/>
      <c r="G585" s="3"/>
    </row>
    <row r="586" spans="5:7">
      <c r="E586" s="3"/>
      <c r="G586" s="3"/>
    </row>
    <row r="587" spans="5:7">
      <c r="E587" s="3"/>
      <c r="G587" s="3"/>
    </row>
    <row r="588" spans="5:7">
      <c r="E588" s="3"/>
      <c r="G588" s="3"/>
    </row>
    <row r="589" spans="5:7">
      <c r="E589" s="3"/>
      <c r="G589" s="3"/>
    </row>
    <row r="590" spans="5:7">
      <c r="E590" s="3"/>
      <c r="G590" s="3"/>
    </row>
    <row r="591" spans="5:7">
      <c r="E591" s="3"/>
      <c r="G591" s="3"/>
    </row>
    <row r="592" spans="5:7">
      <c r="E592" s="3"/>
      <c r="G592" s="3"/>
    </row>
    <row r="593" spans="5:7">
      <c r="E593" s="3"/>
      <c r="G593" s="3"/>
    </row>
    <row r="594" spans="5:7">
      <c r="E594" s="3"/>
      <c r="G594" s="3"/>
    </row>
    <row r="595" spans="5:7">
      <c r="E595" s="3"/>
      <c r="G595" s="3"/>
    </row>
    <row r="596" spans="5:7">
      <c r="E596" s="3"/>
      <c r="G596" s="3"/>
    </row>
    <row r="597" spans="5:7">
      <c r="E597" s="3"/>
      <c r="G597" s="3"/>
    </row>
    <row r="598" spans="5:7">
      <c r="E598" s="3"/>
      <c r="G598" s="3"/>
    </row>
    <row r="599" spans="5:7">
      <c r="E599" s="3"/>
      <c r="G599" s="3"/>
    </row>
    <row r="600" spans="5:7">
      <c r="E600" s="3"/>
      <c r="G600" s="3"/>
    </row>
    <row r="601" spans="5:7">
      <c r="E601" s="3"/>
      <c r="G601" s="3"/>
    </row>
    <row r="602" spans="5:7">
      <c r="E602" s="3"/>
      <c r="G602" s="3"/>
    </row>
    <row r="603" spans="5:7">
      <c r="E603" s="3"/>
      <c r="G603" s="3"/>
    </row>
    <row r="604" spans="5:7">
      <c r="E604" s="3"/>
      <c r="G604" s="3"/>
    </row>
    <row r="605" spans="5:7">
      <c r="E605" s="3"/>
      <c r="G605" s="3"/>
    </row>
    <row r="606" spans="5:7">
      <c r="E606" s="3"/>
      <c r="G606" s="3"/>
    </row>
    <row r="607" spans="5:7">
      <c r="E607" s="3"/>
      <c r="G607" s="3"/>
    </row>
    <row r="608" spans="5:7">
      <c r="E608" s="3"/>
      <c r="G608" s="3"/>
    </row>
    <row r="609" spans="5:7">
      <c r="E609" s="3"/>
      <c r="G609" s="3"/>
    </row>
    <row r="610" spans="5:7">
      <c r="E610" s="3"/>
      <c r="G610" s="3"/>
    </row>
    <row r="611" spans="5:7">
      <c r="E611" s="3"/>
      <c r="G611" s="3"/>
    </row>
    <row r="612" spans="5:7">
      <c r="E612" s="3"/>
      <c r="G612" s="3"/>
    </row>
    <row r="613" spans="5:7">
      <c r="E613" s="3"/>
      <c r="G613" s="3"/>
    </row>
    <row r="614" spans="5:7">
      <c r="E614" s="3"/>
      <c r="G614" s="3"/>
    </row>
    <row r="615" spans="5:7">
      <c r="E615" s="3"/>
      <c r="G615" s="3"/>
    </row>
    <row r="616" spans="5:7">
      <c r="E616" s="3"/>
      <c r="G616" s="3"/>
    </row>
    <row r="617" spans="5:7">
      <c r="E617" s="3"/>
      <c r="G617" s="3"/>
    </row>
    <row r="618" spans="5:7">
      <c r="E618" s="3"/>
      <c r="G618" s="3"/>
    </row>
    <row r="619" spans="5:7">
      <c r="E619" s="3"/>
      <c r="G619" s="3"/>
    </row>
    <row r="620" spans="5:7">
      <c r="E620" s="3"/>
      <c r="G620" s="3"/>
    </row>
    <row r="621" spans="5:7">
      <c r="E621" s="3"/>
      <c r="G621" s="3"/>
    </row>
    <row r="622" spans="5:7">
      <c r="E622" s="3"/>
      <c r="G622" s="3"/>
    </row>
    <row r="623" spans="5:7">
      <c r="E623" s="3"/>
      <c r="G623" s="3"/>
    </row>
    <row r="624" spans="5:7">
      <c r="E624" s="3"/>
      <c r="G624" s="3"/>
    </row>
    <row r="625" spans="5:7">
      <c r="E625" s="3"/>
      <c r="G625" s="3"/>
    </row>
    <row r="626" spans="5:7">
      <c r="E626" s="3"/>
      <c r="G626" s="3"/>
    </row>
    <row r="627" spans="5:7">
      <c r="E627" s="3"/>
      <c r="G627" s="3"/>
    </row>
    <row r="628" spans="5:7">
      <c r="E628" s="3"/>
      <c r="G628" s="3"/>
    </row>
    <row r="629" spans="5:7">
      <c r="E629" s="3"/>
      <c r="G629" s="3"/>
    </row>
    <row r="630" spans="5:7">
      <c r="E630" s="3"/>
      <c r="G630" s="3"/>
    </row>
    <row r="631" spans="5:7">
      <c r="E631" s="3"/>
      <c r="G631" s="3"/>
    </row>
    <row r="632" spans="5:7">
      <c r="E632" s="3"/>
      <c r="G632" s="3"/>
    </row>
    <row r="633" spans="5:7">
      <c r="E633" s="3"/>
      <c r="G633" s="3"/>
    </row>
    <row r="634" spans="5:7">
      <c r="E634" s="3"/>
      <c r="G634" s="3"/>
    </row>
    <row r="635" spans="5:7">
      <c r="E635" s="3"/>
      <c r="G635" s="3"/>
    </row>
    <row r="636" spans="5:7">
      <c r="E636" s="3"/>
      <c r="G636" s="3"/>
    </row>
    <row r="637" spans="5:7">
      <c r="E637" s="3"/>
      <c r="G637" s="3"/>
    </row>
    <row r="638" spans="5:7">
      <c r="E638" s="3"/>
      <c r="G638" s="3"/>
    </row>
    <row r="639" spans="5:7">
      <c r="E639" s="3"/>
      <c r="G639" s="3"/>
    </row>
    <row r="640" spans="5:7">
      <c r="E640" s="3"/>
      <c r="G640" s="3"/>
    </row>
    <row r="641" spans="5:7">
      <c r="E641" s="3"/>
      <c r="G641" s="3"/>
    </row>
    <row r="642" spans="5:7">
      <c r="E642" s="3"/>
      <c r="G642" s="3"/>
    </row>
    <row r="643" spans="5:7">
      <c r="E643" s="3"/>
      <c r="G643" s="3"/>
    </row>
    <row r="644" spans="5:7">
      <c r="E644" s="3"/>
      <c r="G644" s="3"/>
    </row>
    <row r="645" spans="5:7">
      <c r="E645" s="3"/>
      <c r="G645" s="3"/>
    </row>
    <row r="646" spans="5:7">
      <c r="E646" s="3"/>
      <c r="G646" s="3"/>
    </row>
    <row r="647" spans="5:7">
      <c r="E647" s="3"/>
      <c r="G647" s="3"/>
    </row>
    <row r="648" spans="5:7">
      <c r="E648" s="3"/>
      <c r="G648" s="3"/>
    </row>
    <row r="649" spans="5:7">
      <c r="E649" s="3"/>
      <c r="G649" s="3"/>
    </row>
    <row r="650" spans="5:7">
      <c r="E650" s="3"/>
      <c r="G650" s="3"/>
    </row>
    <row r="651" spans="5:7">
      <c r="E651" s="3"/>
      <c r="G651" s="3"/>
    </row>
    <row r="652" spans="5:7">
      <c r="E652" s="3"/>
      <c r="G652" s="3"/>
    </row>
    <row r="653" spans="5:7">
      <c r="E653" s="3"/>
      <c r="G653" s="3"/>
    </row>
    <row r="654" spans="5:7">
      <c r="E654" s="3"/>
      <c r="G654" s="3"/>
    </row>
    <row r="655" spans="5:7">
      <c r="E655" s="3"/>
      <c r="G655" s="3"/>
    </row>
    <row r="656" spans="5:7">
      <c r="E656" s="3"/>
      <c r="G656" s="3"/>
    </row>
    <row r="657" spans="5:7">
      <c r="E657" s="3"/>
      <c r="G657" s="3"/>
    </row>
    <row r="658" spans="5:7">
      <c r="E658" s="3"/>
      <c r="G658" s="3"/>
    </row>
    <row r="659" spans="5:7">
      <c r="E659" s="3"/>
      <c r="G659" s="3"/>
    </row>
    <row r="660" spans="5:7">
      <c r="E660" s="3"/>
      <c r="G660" s="3"/>
    </row>
    <row r="661" spans="5:7">
      <c r="E661" s="3"/>
      <c r="G661" s="3"/>
    </row>
    <row r="662" spans="5:7">
      <c r="E662" s="3"/>
      <c r="G662" s="3"/>
    </row>
    <row r="663" spans="5:7">
      <c r="E663" s="3"/>
      <c r="G663" s="3"/>
    </row>
    <row r="664" spans="5:7">
      <c r="E664" s="3"/>
      <c r="G664" s="3"/>
    </row>
    <row r="665" spans="5:7">
      <c r="E665" s="3"/>
      <c r="G665" s="3"/>
    </row>
    <row r="666" spans="5:7">
      <c r="E666" s="3"/>
      <c r="G666" s="3"/>
    </row>
    <row r="667" spans="5:7">
      <c r="E667" s="3"/>
      <c r="G667" s="3"/>
    </row>
    <row r="668" spans="5:7">
      <c r="E668" s="3"/>
      <c r="G668" s="3"/>
    </row>
    <row r="669" spans="5:7">
      <c r="E669" s="3"/>
      <c r="G669" s="3"/>
    </row>
    <row r="670" spans="5:7">
      <c r="E670" s="3"/>
      <c r="G670" s="3"/>
    </row>
    <row r="671" spans="5:7">
      <c r="E671" s="3"/>
      <c r="G671" s="3"/>
    </row>
    <row r="672" spans="5:7">
      <c r="E672" s="3"/>
      <c r="G672" s="3"/>
    </row>
    <row r="673" spans="5:7">
      <c r="E673" s="3"/>
      <c r="G673" s="3"/>
    </row>
    <row r="674" spans="5:7">
      <c r="E674" s="3"/>
      <c r="G674" s="3"/>
    </row>
    <row r="675" spans="5:7">
      <c r="E675" s="3"/>
      <c r="G675" s="3"/>
    </row>
    <row r="676" spans="5:7">
      <c r="E676" s="3"/>
      <c r="G676" s="3"/>
    </row>
    <row r="677" spans="5:7">
      <c r="E677" s="3"/>
      <c r="G677" s="3"/>
    </row>
    <row r="678" spans="5:7">
      <c r="E678" s="3"/>
      <c r="G678" s="3"/>
    </row>
    <row r="679" spans="5:7">
      <c r="E679" s="3"/>
      <c r="G679" s="3"/>
    </row>
    <row r="680" spans="5:7">
      <c r="E680" s="3"/>
      <c r="G680" s="3"/>
    </row>
    <row r="681" spans="5:7">
      <c r="E681" s="3"/>
      <c r="G681" s="3"/>
    </row>
    <row r="682" spans="5:7">
      <c r="E682" s="3"/>
      <c r="G682" s="3"/>
    </row>
    <row r="683" spans="5:7">
      <c r="E683" s="3"/>
      <c r="G683" s="3"/>
    </row>
    <row r="684" spans="5:7">
      <c r="E684" s="3"/>
      <c r="G684" s="3"/>
    </row>
    <row r="685" spans="5:7">
      <c r="E685" s="3"/>
      <c r="G685" s="3"/>
    </row>
    <row r="686" spans="5:7">
      <c r="E686" s="3"/>
      <c r="G686" s="3"/>
    </row>
    <row r="687" spans="5:7">
      <c r="E687" s="3"/>
      <c r="G687" s="3"/>
    </row>
    <row r="688" spans="5:7">
      <c r="E688" s="3"/>
      <c r="G688" s="3"/>
    </row>
    <row r="689" spans="5:7">
      <c r="E689" s="3"/>
      <c r="G689" s="3"/>
    </row>
    <row r="690" spans="5:7">
      <c r="E690" s="3"/>
      <c r="G690" s="3"/>
    </row>
    <row r="691" spans="5:7">
      <c r="E691" s="3"/>
      <c r="G691" s="3"/>
    </row>
    <row r="692" spans="5:7">
      <c r="E692" s="3"/>
      <c r="G692" s="3"/>
    </row>
    <row r="693" spans="5:7">
      <c r="E693" s="3"/>
      <c r="G693" s="3"/>
    </row>
    <row r="694" spans="5:7">
      <c r="E694" s="3"/>
      <c r="G694" s="3"/>
    </row>
    <row r="695" spans="5:7">
      <c r="E695" s="3"/>
      <c r="G695" s="3"/>
    </row>
    <row r="696" spans="5:7">
      <c r="E696" s="3"/>
      <c r="G696" s="3"/>
    </row>
    <row r="697" spans="5:7">
      <c r="E697" s="3"/>
      <c r="G697" s="3"/>
    </row>
    <row r="698" spans="5:7">
      <c r="E698" s="3"/>
      <c r="G698" s="3"/>
    </row>
    <row r="699" spans="5:7">
      <c r="E699" s="3"/>
      <c r="G699" s="3"/>
    </row>
    <row r="700" spans="5:7">
      <c r="E700" s="3"/>
      <c r="G700" s="3"/>
    </row>
    <row r="701" spans="5:7">
      <c r="E701" s="3"/>
      <c r="G701" s="3"/>
    </row>
    <row r="702" spans="5:7">
      <c r="E702" s="3"/>
      <c r="G702" s="3"/>
    </row>
    <row r="703" spans="5:7">
      <c r="E703" s="3"/>
      <c r="G703" s="3"/>
    </row>
    <row r="704" spans="5:7">
      <c r="E704" s="3"/>
      <c r="G704" s="3"/>
    </row>
    <row r="705" spans="5:7">
      <c r="E705" s="3"/>
      <c r="G705" s="3"/>
    </row>
    <row r="706" spans="5:7">
      <c r="E706" s="3"/>
      <c r="G706" s="3"/>
    </row>
    <row r="707" spans="5:7">
      <c r="E707" s="3"/>
      <c r="G707" s="3"/>
    </row>
    <row r="708" spans="5:7">
      <c r="E708" s="3"/>
      <c r="G708" s="3"/>
    </row>
    <row r="709" spans="5:7">
      <c r="E709" s="3"/>
      <c r="G709" s="3"/>
    </row>
    <row r="710" spans="5:7">
      <c r="E710" s="3"/>
      <c r="G710" s="3"/>
    </row>
    <row r="711" spans="5:7">
      <c r="E711" s="3"/>
      <c r="G711" s="3"/>
    </row>
    <row r="712" spans="5:7">
      <c r="E712" s="3"/>
      <c r="G712" s="3"/>
    </row>
    <row r="713" spans="5:7">
      <c r="E713" s="3"/>
      <c r="G713" s="3"/>
    </row>
    <row r="714" spans="5:7">
      <c r="E714" s="3"/>
      <c r="G714" s="3"/>
    </row>
    <row r="715" spans="5:7">
      <c r="E715" s="3"/>
      <c r="G715" s="3"/>
    </row>
    <row r="716" spans="5:7">
      <c r="E716" s="3"/>
      <c r="G716" s="3"/>
    </row>
    <row r="717" spans="5:7">
      <c r="E717" s="3"/>
      <c r="G717" s="3"/>
    </row>
    <row r="718" spans="5:7">
      <c r="E718" s="3"/>
      <c r="G718" s="3"/>
    </row>
    <row r="719" spans="5:7">
      <c r="E719" s="3"/>
      <c r="G719" s="3"/>
    </row>
    <row r="720" spans="5:7">
      <c r="E720" s="3"/>
      <c r="G720" s="3"/>
    </row>
    <row r="721" spans="5:7">
      <c r="E721" s="3"/>
      <c r="G721" s="3"/>
    </row>
    <row r="722" spans="5:7">
      <c r="E722" s="3"/>
      <c r="G722" s="3"/>
    </row>
    <row r="723" spans="5:7">
      <c r="E723" s="3"/>
      <c r="G723" s="3"/>
    </row>
    <row r="724" spans="5:7">
      <c r="E724" s="3"/>
      <c r="G724" s="3"/>
    </row>
    <row r="725" spans="5:7">
      <c r="E725" s="3"/>
      <c r="G725" s="3"/>
    </row>
    <row r="726" spans="5:7">
      <c r="E726" s="3"/>
      <c r="G726" s="3"/>
    </row>
    <row r="727" spans="5:7">
      <c r="E727" s="3"/>
      <c r="G727" s="3"/>
    </row>
    <row r="728" spans="5:7">
      <c r="E728" s="3"/>
      <c r="G728" s="3"/>
    </row>
    <row r="729" spans="5:7">
      <c r="E729" s="3"/>
      <c r="G729" s="3"/>
    </row>
    <row r="730" spans="5:7">
      <c r="E730" s="3"/>
      <c r="G730" s="3"/>
    </row>
    <row r="731" spans="5:7">
      <c r="E731" s="3"/>
      <c r="G731" s="3"/>
    </row>
    <row r="732" spans="5:7">
      <c r="E732" s="3"/>
      <c r="G732" s="3"/>
    </row>
    <row r="733" spans="5:7">
      <c r="E733" s="3"/>
      <c r="G733" s="3"/>
    </row>
    <row r="734" spans="5:7">
      <c r="E734" s="3"/>
      <c r="G734" s="3"/>
    </row>
    <row r="735" spans="5:7">
      <c r="E735" s="3"/>
      <c r="G735" s="3"/>
    </row>
    <row r="736" spans="5:7">
      <c r="E736" s="3"/>
      <c r="G736" s="3"/>
    </row>
    <row r="737" spans="5:7">
      <c r="E737" s="3"/>
      <c r="G737" s="3"/>
    </row>
    <row r="738" spans="5:7">
      <c r="E738" s="3"/>
      <c r="G738" s="3"/>
    </row>
    <row r="739" spans="5:7">
      <c r="E739" s="3"/>
      <c r="G739" s="3"/>
    </row>
    <row r="740" spans="5:7">
      <c r="E740" s="3"/>
      <c r="G740" s="3"/>
    </row>
    <row r="741" spans="5:7">
      <c r="E741" s="3"/>
      <c r="G741" s="3"/>
    </row>
    <row r="742" spans="5:7">
      <c r="E742" s="3"/>
      <c r="G742" s="3"/>
    </row>
    <row r="743" spans="5:7">
      <c r="E743" s="3"/>
      <c r="G743" s="3"/>
    </row>
    <row r="744" spans="5:7">
      <c r="E744" s="3"/>
      <c r="G744" s="3"/>
    </row>
    <row r="745" spans="5:7">
      <c r="E745" s="3"/>
      <c r="G745" s="3"/>
    </row>
    <row r="746" spans="5:7">
      <c r="E746" s="3"/>
      <c r="G746" s="3"/>
    </row>
    <row r="747" spans="5:7">
      <c r="E747" s="3"/>
      <c r="G747" s="3"/>
    </row>
    <row r="748" spans="5:7">
      <c r="E748" s="3"/>
      <c r="G748" s="3"/>
    </row>
    <row r="749" spans="5:7">
      <c r="E749" s="3"/>
      <c r="G749" s="3"/>
    </row>
    <row r="750" spans="5:7">
      <c r="E750" s="3"/>
      <c r="G750" s="3"/>
    </row>
    <row r="751" spans="5:7">
      <c r="E751" s="3"/>
      <c r="G751" s="3"/>
    </row>
    <row r="752" spans="5:7">
      <c r="E752" s="3"/>
      <c r="G752" s="3"/>
    </row>
    <row r="753" spans="5:7">
      <c r="E753" s="3"/>
      <c r="G753" s="3"/>
    </row>
    <row r="754" spans="5:7">
      <c r="E754" s="3"/>
      <c r="G754" s="3"/>
    </row>
    <row r="755" spans="5:7">
      <c r="E755" s="3"/>
      <c r="G755" s="3"/>
    </row>
    <row r="756" spans="5:7">
      <c r="E756" s="3"/>
      <c r="G756" s="3"/>
    </row>
    <row r="757" spans="5:7">
      <c r="E757" s="3"/>
      <c r="G757" s="3"/>
    </row>
    <row r="758" spans="5:7">
      <c r="E758" s="3"/>
      <c r="G758" s="3"/>
    </row>
    <row r="759" spans="5:7">
      <c r="E759" s="3"/>
      <c r="G759" s="3"/>
    </row>
    <row r="760" spans="5:7">
      <c r="E760" s="3"/>
      <c r="G760" s="3"/>
    </row>
    <row r="761" spans="5:7">
      <c r="E761" s="3"/>
      <c r="G761" s="3"/>
    </row>
    <row r="762" spans="5:7">
      <c r="E762" s="3"/>
      <c r="G762" s="3"/>
    </row>
    <row r="763" spans="5:7">
      <c r="E763" s="3"/>
      <c r="G763" s="3"/>
    </row>
    <row r="764" spans="5:7">
      <c r="E764" s="3"/>
      <c r="G764" s="3"/>
    </row>
    <row r="765" spans="5:7">
      <c r="E765" s="3"/>
      <c r="G765" s="3"/>
    </row>
    <row r="766" spans="5:7">
      <c r="E766" s="3"/>
      <c r="G766" s="3"/>
    </row>
    <row r="767" spans="5:7">
      <c r="E767" s="3"/>
      <c r="G767" s="3"/>
    </row>
    <row r="768" spans="5:7">
      <c r="E768" s="3"/>
      <c r="G768" s="3"/>
    </row>
    <row r="769" spans="5:7">
      <c r="E769" s="3"/>
      <c r="G769" s="3"/>
    </row>
    <row r="770" spans="5:7">
      <c r="E770" s="3"/>
      <c r="G770" s="3"/>
    </row>
    <row r="771" spans="5:7">
      <c r="E771" s="3"/>
      <c r="G771" s="3"/>
    </row>
    <row r="772" spans="5:7">
      <c r="E772" s="3"/>
      <c r="G772" s="3"/>
    </row>
    <row r="773" spans="5:7">
      <c r="E773" s="3"/>
      <c r="G773" s="3"/>
    </row>
    <row r="774" spans="5:7">
      <c r="E774" s="3"/>
      <c r="G774" s="3"/>
    </row>
    <row r="775" spans="5:7">
      <c r="E775" s="3"/>
      <c r="G775" s="3"/>
    </row>
    <row r="776" spans="5:7">
      <c r="E776" s="3"/>
      <c r="G776" s="3"/>
    </row>
    <row r="777" spans="5:7">
      <c r="E777" s="3"/>
      <c r="G777" s="3"/>
    </row>
    <row r="778" spans="5:7">
      <c r="E778" s="3"/>
      <c r="G778" s="3"/>
    </row>
    <row r="779" spans="5:7">
      <c r="E779" s="3"/>
      <c r="G779" s="3"/>
    </row>
    <row r="780" spans="5:7">
      <c r="E780" s="3"/>
      <c r="G780" s="3"/>
    </row>
    <row r="781" spans="5:7">
      <c r="E781" s="3"/>
      <c r="G781" s="3"/>
    </row>
    <row r="782" spans="5:7">
      <c r="E782" s="3"/>
      <c r="G782" s="3"/>
    </row>
    <row r="783" spans="5:7">
      <c r="E783" s="3"/>
      <c r="G783" s="3"/>
    </row>
    <row r="784" spans="5:7">
      <c r="E784" s="3"/>
      <c r="G784" s="3"/>
    </row>
    <row r="785" spans="5:7">
      <c r="E785" s="3"/>
      <c r="G785" s="3"/>
    </row>
    <row r="786" spans="5:7">
      <c r="E786" s="3"/>
      <c r="G786" s="3"/>
    </row>
    <row r="787" spans="5:7">
      <c r="E787" s="3"/>
      <c r="G787" s="3"/>
    </row>
    <row r="788" spans="5:7">
      <c r="E788" s="3"/>
      <c r="G788" s="3"/>
    </row>
    <row r="789" spans="5:7">
      <c r="E789" s="3"/>
      <c r="G789" s="3"/>
    </row>
    <row r="790" spans="5:7">
      <c r="E790" s="3"/>
      <c r="G790" s="3"/>
    </row>
    <row r="791" spans="5:7">
      <c r="E791" s="3"/>
      <c r="G791" s="3"/>
    </row>
    <row r="792" spans="5:7">
      <c r="E792" s="3"/>
      <c r="G792" s="3"/>
    </row>
    <row r="793" spans="5:7">
      <c r="E793" s="3"/>
      <c r="G793" s="3"/>
    </row>
    <row r="794" spans="5:7">
      <c r="E794" s="3"/>
      <c r="G794" s="3"/>
    </row>
    <row r="795" spans="5:7">
      <c r="E795" s="3"/>
      <c r="G795" s="3"/>
    </row>
    <row r="796" spans="5:7">
      <c r="E796" s="3"/>
      <c r="G796" s="3"/>
    </row>
    <row r="797" spans="5:7">
      <c r="E797" s="3"/>
      <c r="G797" s="3"/>
    </row>
    <row r="798" spans="5:7">
      <c r="E798" s="3"/>
      <c r="G798" s="3"/>
    </row>
    <row r="799" spans="5:7">
      <c r="E799" s="3"/>
      <c r="G799" s="3"/>
    </row>
    <row r="800" spans="5:7">
      <c r="E800" s="3"/>
      <c r="G800" s="3"/>
    </row>
    <row r="801" spans="5:7">
      <c r="E801" s="3"/>
      <c r="G801" s="3"/>
    </row>
    <row r="802" spans="5:7">
      <c r="E802" s="3"/>
      <c r="G802" s="3"/>
    </row>
    <row r="803" spans="5:7">
      <c r="E803" s="3"/>
      <c r="G803" s="3"/>
    </row>
    <row r="804" spans="5:7">
      <c r="E804" s="3"/>
      <c r="G804" s="3"/>
    </row>
    <row r="805" spans="5:7">
      <c r="E805" s="3"/>
      <c r="G805" s="3"/>
    </row>
    <row r="806" spans="5:7">
      <c r="E806" s="3"/>
      <c r="G806" s="3"/>
    </row>
    <row r="807" spans="5:7">
      <c r="E807" s="3"/>
      <c r="G807" s="3"/>
    </row>
    <row r="808" spans="5:7">
      <c r="E808" s="3"/>
      <c r="G808" s="3"/>
    </row>
    <row r="809" spans="5:7">
      <c r="E809" s="3"/>
      <c r="G809" s="3"/>
    </row>
    <row r="810" spans="5:7">
      <c r="E810" s="3"/>
      <c r="G810" s="3"/>
    </row>
    <row r="811" spans="5:7">
      <c r="E811" s="3"/>
      <c r="G811" s="3"/>
    </row>
    <row r="812" spans="5:7">
      <c r="E812" s="3"/>
      <c r="G812" s="3"/>
    </row>
    <row r="813" spans="5:7">
      <c r="E813" s="3"/>
      <c r="G813" s="3"/>
    </row>
    <row r="814" spans="5:7">
      <c r="E814" s="3"/>
      <c r="G814" s="3"/>
    </row>
    <row r="815" spans="5:7">
      <c r="E815" s="3"/>
      <c r="G815" s="3"/>
    </row>
    <row r="816" spans="5:7">
      <c r="E816" s="3"/>
      <c r="G816" s="3"/>
    </row>
    <row r="817" spans="5:7">
      <c r="E817" s="3"/>
      <c r="G817" s="3"/>
    </row>
    <row r="818" spans="5:7">
      <c r="E818" s="3"/>
      <c r="G818" s="3"/>
    </row>
    <row r="819" spans="5:7">
      <c r="E819" s="3"/>
      <c r="G819" s="3"/>
    </row>
    <row r="820" spans="5:7">
      <c r="E820" s="3"/>
      <c r="G820" s="3"/>
    </row>
    <row r="821" spans="5:7">
      <c r="E821" s="3"/>
      <c r="G821" s="3"/>
    </row>
    <row r="822" spans="5:7">
      <c r="E822" s="3"/>
      <c r="G822" s="3"/>
    </row>
    <row r="823" spans="5:7">
      <c r="E823" s="3"/>
      <c r="G823" s="3"/>
    </row>
    <row r="824" spans="5:7">
      <c r="E824" s="3"/>
      <c r="G824" s="3"/>
    </row>
    <row r="825" spans="5:7">
      <c r="E825" s="3"/>
      <c r="G825" s="3"/>
    </row>
    <row r="826" spans="5:7">
      <c r="E826" s="3"/>
      <c r="G826" s="3"/>
    </row>
    <row r="827" spans="5:7">
      <c r="E827" s="3"/>
      <c r="G827" s="3"/>
    </row>
    <row r="828" spans="5:7">
      <c r="E828" s="3"/>
      <c r="G828" s="3"/>
    </row>
    <row r="829" spans="5:7">
      <c r="E829" s="3"/>
      <c r="G829" s="3"/>
    </row>
    <row r="830" spans="5:7">
      <c r="E830" s="3"/>
      <c r="G830" s="3"/>
    </row>
    <row r="831" spans="5:7">
      <c r="E831" s="3"/>
      <c r="G831" s="3"/>
    </row>
    <row r="832" spans="5:7">
      <c r="E832" s="3"/>
      <c r="G832" s="3"/>
    </row>
    <row r="833" spans="5:7">
      <c r="E833" s="3"/>
      <c r="G833" s="3"/>
    </row>
    <row r="834" spans="5:7">
      <c r="E834" s="3"/>
      <c r="G834" s="3"/>
    </row>
    <row r="835" spans="5:7">
      <c r="E835" s="3"/>
      <c r="G835" s="3"/>
    </row>
    <row r="836" spans="5:7">
      <c r="E836" s="3"/>
      <c r="G836" s="3"/>
    </row>
    <row r="837" spans="5:7">
      <c r="E837" s="3"/>
      <c r="G837" s="3"/>
    </row>
    <row r="838" spans="5:7">
      <c r="E838" s="3"/>
      <c r="G838" s="3"/>
    </row>
    <row r="839" spans="5:7">
      <c r="E839" s="3"/>
      <c r="G839" s="3"/>
    </row>
    <row r="840" spans="5:7">
      <c r="E840" s="3"/>
      <c r="G840" s="3"/>
    </row>
    <row r="841" spans="5:7">
      <c r="E841" s="3"/>
      <c r="G841" s="3"/>
    </row>
    <row r="842" spans="5:7">
      <c r="E842" s="3"/>
      <c r="G842" s="3"/>
    </row>
    <row r="843" spans="5:7">
      <c r="E843" s="3"/>
      <c r="G843" s="3"/>
    </row>
    <row r="844" spans="5:7">
      <c r="E844" s="3"/>
      <c r="G844" s="3"/>
    </row>
    <row r="845" spans="5:7">
      <c r="E845" s="3"/>
      <c r="G845" s="3"/>
    </row>
    <row r="846" spans="5:7">
      <c r="E846" s="3"/>
      <c r="G846" s="3"/>
    </row>
    <row r="847" spans="5:7">
      <c r="E847" s="3"/>
      <c r="G847" s="3"/>
    </row>
    <row r="848" spans="5:7">
      <c r="E848" s="3"/>
      <c r="G848" s="3"/>
    </row>
    <row r="849" spans="5:7">
      <c r="E849" s="3"/>
      <c r="G849" s="3"/>
    </row>
    <row r="850" spans="5:7">
      <c r="E850" s="3"/>
      <c r="G850" s="3"/>
    </row>
    <row r="851" spans="5:7">
      <c r="E851" s="3"/>
      <c r="G851" s="3"/>
    </row>
    <row r="852" spans="5:7">
      <c r="E852" s="3"/>
      <c r="G852" s="3"/>
    </row>
    <row r="853" spans="5:7">
      <c r="E853" s="3"/>
      <c r="G853" s="3"/>
    </row>
    <row r="854" spans="5:7">
      <c r="E854" s="3"/>
      <c r="G854" s="3"/>
    </row>
    <row r="855" spans="5:7">
      <c r="E855" s="3"/>
      <c r="G855" s="3"/>
    </row>
    <row r="856" spans="5:7">
      <c r="E856" s="3"/>
      <c r="G856" s="3"/>
    </row>
    <row r="857" spans="5:7">
      <c r="E857" s="3"/>
      <c r="G857" s="3"/>
    </row>
    <row r="858" spans="5:7">
      <c r="E858" s="3"/>
      <c r="G858" s="3"/>
    </row>
    <row r="859" spans="5:7">
      <c r="E859" s="3"/>
      <c r="G859" s="3"/>
    </row>
    <row r="860" spans="5:7">
      <c r="E860" s="3"/>
      <c r="G860" s="3"/>
    </row>
    <row r="861" spans="5:7">
      <c r="E861" s="3"/>
      <c r="G861" s="3"/>
    </row>
    <row r="862" spans="5:7">
      <c r="E862" s="3"/>
      <c r="G862" s="3"/>
    </row>
    <row r="863" spans="5:7">
      <c r="E863" s="3"/>
      <c r="G863" s="3"/>
    </row>
    <row r="864" spans="5:7">
      <c r="E864" s="3"/>
      <c r="G864" s="3"/>
    </row>
    <row r="865" spans="5:7">
      <c r="E865" s="3"/>
      <c r="G865" s="3"/>
    </row>
    <row r="866" spans="5:7">
      <c r="E866" s="3"/>
      <c r="G866" s="3"/>
    </row>
    <row r="867" spans="5:7">
      <c r="E867" s="3"/>
      <c r="G867" s="3"/>
    </row>
    <row r="868" spans="5:7">
      <c r="E868" s="3"/>
      <c r="G868" s="3"/>
    </row>
    <row r="869" spans="5:7">
      <c r="E869" s="3"/>
      <c r="G869" s="3"/>
    </row>
    <row r="870" spans="5:7">
      <c r="E870" s="3"/>
      <c r="G870" s="3"/>
    </row>
    <row r="871" spans="5:7">
      <c r="E871" s="3"/>
      <c r="G871" s="3"/>
    </row>
    <row r="872" spans="5:7">
      <c r="E872" s="3"/>
      <c r="G872" s="3"/>
    </row>
    <row r="873" spans="5:7">
      <c r="E873" s="3"/>
      <c r="G873" s="3"/>
    </row>
    <row r="874" spans="5:7">
      <c r="E874" s="3"/>
      <c r="G874" s="3"/>
    </row>
    <row r="875" spans="5:7">
      <c r="E875" s="3"/>
      <c r="G875" s="3"/>
    </row>
    <row r="876" spans="5:7">
      <c r="E876" s="3"/>
      <c r="G876" s="3"/>
    </row>
    <row r="877" spans="5:7">
      <c r="E877" s="3"/>
      <c r="G877" s="3"/>
    </row>
    <row r="878" spans="5:7">
      <c r="E878" s="3"/>
      <c r="G878" s="3"/>
    </row>
    <row r="879" spans="5:7">
      <c r="E879" s="3"/>
      <c r="G879" s="3"/>
    </row>
    <row r="880" spans="5:7">
      <c r="E880" s="3"/>
      <c r="G880" s="3"/>
    </row>
    <row r="881" spans="5:7">
      <c r="E881" s="3"/>
      <c r="G881" s="3"/>
    </row>
    <row r="882" spans="5:7">
      <c r="E882" s="3"/>
      <c r="G882" s="3"/>
    </row>
    <row r="883" spans="5:7">
      <c r="E883" s="3"/>
      <c r="G883" s="3"/>
    </row>
    <row r="884" spans="5:7">
      <c r="E884" s="3"/>
      <c r="G884" s="3"/>
    </row>
    <row r="885" spans="5:7">
      <c r="E885" s="3"/>
      <c r="G885" s="3"/>
    </row>
    <row r="886" spans="5:7">
      <c r="E886" s="3"/>
      <c r="G886" s="3"/>
    </row>
    <row r="887" spans="5:7">
      <c r="E887" s="3"/>
      <c r="G887" s="3"/>
    </row>
    <row r="888" spans="5:7">
      <c r="E888" s="3"/>
      <c r="G888" s="3"/>
    </row>
    <row r="889" spans="5:7">
      <c r="E889" s="3"/>
      <c r="G889" s="3"/>
    </row>
    <row r="890" spans="5:7">
      <c r="E890" s="3"/>
      <c r="G890" s="3"/>
    </row>
    <row r="891" spans="5:7">
      <c r="E891" s="3"/>
      <c r="G891" s="3"/>
    </row>
    <row r="892" spans="5:7">
      <c r="E892" s="3"/>
      <c r="G892" s="3"/>
    </row>
    <row r="893" spans="5:7">
      <c r="E893" s="3"/>
      <c r="G893" s="3"/>
    </row>
    <row r="894" spans="5:7">
      <c r="E894" s="3"/>
      <c r="G894" s="3"/>
    </row>
    <row r="895" spans="5:7">
      <c r="E895" s="3"/>
      <c r="G895" s="3"/>
    </row>
    <row r="896" spans="5:7">
      <c r="E896" s="3"/>
      <c r="G896" s="3"/>
    </row>
    <row r="897" spans="5:7">
      <c r="E897" s="3"/>
      <c r="G897" s="3"/>
    </row>
    <row r="898" spans="5:7">
      <c r="E898" s="3"/>
      <c r="G898" s="3"/>
    </row>
    <row r="899" spans="5:7">
      <c r="E899" s="3"/>
      <c r="G899" s="3"/>
    </row>
    <row r="900" spans="5:7">
      <c r="E900" s="3"/>
      <c r="G900" s="3"/>
    </row>
    <row r="901" spans="5:7">
      <c r="E901" s="3"/>
      <c r="G901" s="3"/>
    </row>
    <row r="902" spans="5:7">
      <c r="E902" s="3"/>
      <c r="G902" s="3"/>
    </row>
    <row r="903" spans="5:7">
      <c r="E903" s="3"/>
      <c r="G903" s="3"/>
    </row>
    <row r="904" spans="5:7">
      <c r="E904" s="3"/>
      <c r="G904" s="3"/>
    </row>
    <row r="905" spans="5:7">
      <c r="E905" s="3"/>
      <c r="G905" s="3"/>
    </row>
    <row r="906" spans="5:7">
      <c r="E906" s="3"/>
      <c r="G906" s="3"/>
    </row>
    <row r="907" spans="5:7">
      <c r="E907" s="3"/>
      <c r="G907" s="3"/>
    </row>
    <row r="908" spans="5:7">
      <c r="E908" s="3"/>
      <c r="G908" s="3"/>
    </row>
    <row r="909" spans="5:7">
      <c r="E909" s="3"/>
      <c r="G909" s="3"/>
    </row>
    <row r="910" spans="5:7">
      <c r="E910" s="3"/>
      <c r="G910" s="3"/>
    </row>
    <row r="911" spans="5:7">
      <c r="E911" s="3"/>
      <c r="G911" s="3"/>
    </row>
    <row r="912" spans="5:7">
      <c r="E912" s="3"/>
      <c r="G912" s="3"/>
    </row>
    <row r="913" spans="5:7">
      <c r="E913" s="3"/>
      <c r="G913" s="3"/>
    </row>
    <row r="914" spans="5:7">
      <c r="E914" s="3"/>
      <c r="G914" s="3"/>
    </row>
    <row r="915" spans="5:7">
      <c r="E915" s="3"/>
      <c r="G915" s="3"/>
    </row>
    <row r="916" spans="5:7">
      <c r="E916" s="3"/>
      <c r="G916" s="3"/>
    </row>
    <row r="917" spans="5:7">
      <c r="E917" s="3"/>
      <c r="G917" s="3"/>
    </row>
    <row r="918" spans="5:7">
      <c r="E918" s="3"/>
      <c r="G918" s="3"/>
    </row>
    <row r="919" spans="5:7">
      <c r="E919" s="3"/>
      <c r="G919" s="3"/>
    </row>
    <row r="920" spans="5:7">
      <c r="E920" s="3"/>
      <c r="G920" s="3"/>
    </row>
    <row r="921" spans="5:7">
      <c r="E921" s="3"/>
      <c r="G921" s="3"/>
    </row>
    <row r="922" spans="5:7">
      <c r="E922" s="3"/>
      <c r="G922" s="3"/>
    </row>
    <row r="923" spans="5:7">
      <c r="E923" s="3"/>
      <c r="G923" s="3"/>
    </row>
    <row r="924" spans="5:7">
      <c r="E924" s="3"/>
      <c r="G924" s="3"/>
    </row>
    <row r="925" spans="5:7">
      <c r="E925" s="3"/>
      <c r="G925" s="3"/>
    </row>
    <row r="926" spans="5:7">
      <c r="E926" s="3"/>
      <c r="G926" s="3"/>
    </row>
    <row r="927" spans="5:7">
      <c r="E927" s="3"/>
      <c r="G927" s="3"/>
    </row>
    <row r="928" spans="5:7">
      <c r="E928" s="3"/>
      <c r="G928" s="3"/>
    </row>
    <row r="929" spans="5:7">
      <c r="E929" s="3"/>
      <c r="G929" s="3"/>
    </row>
    <row r="930" spans="5:7">
      <c r="E930" s="3"/>
      <c r="G930" s="3"/>
    </row>
    <row r="931" spans="5:7">
      <c r="E931" s="3"/>
      <c r="G931" s="3"/>
    </row>
    <row r="932" spans="5:7">
      <c r="E932" s="3"/>
      <c r="G932" s="3"/>
    </row>
    <row r="933" spans="5:7">
      <c r="E933" s="3"/>
      <c r="G933" s="3"/>
    </row>
    <row r="934" spans="5:7">
      <c r="E934" s="3"/>
      <c r="G934" s="3"/>
    </row>
    <row r="935" spans="5:7">
      <c r="E935" s="3"/>
      <c r="G935" s="3"/>
    </row>
    <row r="936" spans="5:7">
      <c r="E936" s="3"/>
      <c r="G936" s="3"/>
    </row>
    <row r="937" spans="5:7">
      <c r="E937" s="3"/>
      <c r="G937" s="3"/>
    </row>
    <row r="938" spans="5:7">
      <c r="E938" s="3"/>
      <c r="G938" s="3"/>
    </row>
    <row r="939" spans="5:7">
      <c r="E939" s="3"/>
      <c r="G939" s="3"/>
    </row>
    <row r="940" spans="5:7">
      <c r="E940" s="3"/>
      <c r="G940" s="3"/>
    </row>
    <row r="941" spans="5:7">
      <c r="E941" s="3"/>
      <c r="G941" s="3"/>
    </row>
    <row r="942" spans="5:7">
      <c r="E942" s="3"/>
      <c r="G942" s="3"/>
    </row>
    <row r="943" spans="5:7">
      <c r="E943" s="3"/>
      <c r="G943" s="3"/>
    </row>
    <row r="944" spans="5:7">
      <c r="E944" s="3"/>
      <c r="G944" s="3"/>
    </row>
    <row r="945" spans="5:7">
      <c r="E945" s="3"/>
      <c r="G945" s="3"/>
    </row>
    <row r="946" spans="5:7">
      <c r="E946" s="3"/>
      <c r="G946" s="3"/>
    </row>
    <row r="947" spans="5:7">
      <c r="E947" s="3"/>
      <c r="G947" s="3"/>
    </row>
    <row r="948" spans="5:7">
      <c r="E948" s="3"/>
      <c r="G948" s="3"/>
    </row>
    <row r="949" spans="5:7">
      <c r="E949" s="3"/>
      <c r="G949" s="3"/>
    </row>
    <row r="950" spans="5:7">
      <c r="E950" s="3"/>
      <c r="G950" s="3"/>
    </row>
    <row r="951" spans="5:7">
      <c r="E951" s="3"/>
      <c r="G951" s="3"/>
    </row>
    <row r="952" spans="5:7">
      <c r="E952" s="3"/>
      <c r="G952" s="3"/>
    </row>
    <row r="953" spans="5:7">
      <c r="E953" s="3"/>
      <c r="G953" s="3"/>
    </row>
    <row r="954" spans="5:7">
      <c r="E954" s="3"/>
      <c r="G954" s="3"/>
    </row>
    <row r="955" spans="5:7">
      <c r="E955" s="3"/>
      <c r="G955" s="3"/>
    </row>
    <row r="956" spans="5:7">
      <c r="E956" s="3"/>
      <c r="G956" s="3"/>
    </row>
    <row r="957" spans="5:7">
      <c r="E957" s="3"/>
      <c r="G957" s="3"/>
    </row>
    <row r="958" spans="5:7">
      <c r="E958" s="3"/>
      <c r="G958" s="3"/>
    </row>
    <row r="959" spans="5:7">
      <c r="E959" s="3"/>
      <c r="G959" s="3"/>
    </row>
    <row r="960" spans="5:7">
      <c r="E960" s="3"/>
      <c r="G960" s="3"/>
    </row>
    <row r="961" spans="5:7">
      <c r="E961" s="3"/>
      <c r="G961" s="3"/>
    </row>
    <row r="962" spans="5:7">
      <c r="E962" s="3"/>
      <c r="G962" s="3"/>
    </row>
    <row r="963" spans="5:7">
      <c r="E963" s="3"/>
      <c r="G963" s="3"/>
    </row>
    <row r="964" spans="5:7">
      <c r="E964" s="3"/>
      <c r="G964" s="3"/>
    </row>
    <row r="965" spans="5:7">
      <c r="E965" s="3"/>
      <c r="G965" s="3"/>
    </row>
    <row r="966" spans="5:7">
      <c r="E966" s="3"/>
      <c r="G966" s="3"/>
    </row>
    <row r="967" spans="5:7">
      <c r="E967" s="3"/>
      <c r="G967" s="3"/>
    </row>
    <row r="968" spans="5:7">
      <c r="E968" s="3"/>
      <c r="G968" s="3"/>
    </row>
    <row r="969" spans="5:7">
      <c r="E969" s="3"/>
      <c r="G969" s="3"/>
    </row>
    <row r="970" spans="5:7">
      <c r="E970" s="3"/>
      <c r="G970" s="3"/>
    </row>
    <row r="971" spans="5:7">
      <c r="E971" s="3"/>
      <c r="G971" s="3"/>
    </row>
    <row r="972" spans="5:7">
      <c r="E972" s="3"/>
      <c r="G972" s="3"/>
    </row>
    <row r="973" spans="5:7">
      <c r="E973" s="3"/>
      <c r="G973" s="3"/>
    </row>
    <row r="974" spans="5:7">
      <c r="E974" s="3"/>
      <c r="G974" s="3"/>
    </row>
    <row r="975" spans="5:7">
      <c r="E975" s="3"/>
      <c r="G975" s="3"/>
    </row>
    <row r="976" spans="5:7">
      <c r="E976" s="3"/>
      <c r="G976" s="3"/>
    </row>
    <row r="977" spans="5:7">
      <c r="E977" s="3"/>
      <c r="G977" s="3"/>
    </row>
    <row r="978" spans="5:7">
      <c r="E978" s="3"/>
      <c r="G978" s="3"/>
    </row>
    <row r="979" spans="5:7">
      <c r="E979" s="3"/>
      <c r="G979" s="3"/>
    </row>
    <row r="980" spans="5:7">
      <c r="E980" s="3"/>
      <c r="G980" s="3"/>
    </row>
    <row r="981" spans="5:7">
      <c r="E981" s="3"/>
      <c r="G981" s="3"/>
    </row>
    <row r="982" spans="5:7">
      <c r="E982" s="3"/>
      <c r="G982" s="3"/>
    </row>
    <row r="983" spans="5:7">
      <c r="E983" s="3"/>
      <c r="G983" s="3"/>
    </row>
    <row r="984" spans="5:7">
      <c r="E984" s="3"/>
      <c r="G984" s="3"/>
    </row>
    <row r="985" spans="5:7">
      <c r="E985" s="3"/>
      <c r="G985" s="3"/>
    </row>
    <row r="986" spans="5:7">
      <c r="E986" s="3"/>
      <c r="G986" s="3"/>
    </row>
    <row r="987" spans="5:7">
      <c r="E987" s="3"/>
      <c r="G987" s="3"/>
    </row>
    <row r="988" spans="5:7">
      <c r="E988" s="3"/>
      <c r="G988" s="3"/>
    </row>
    <row r="989" spans="5:7">
      <c r="E989" s="3"/>
      <c r="G989" s="3"/>
    </row>
    <row r="990" spans="5:7">
      <c r="E990" s="3"/>
      <c r="G990" s="3"/>
    </row>
    <row r="991" spans="5:7">
      <c r="E991" s="3"/>
      <c r="G991" s="3"/>
    </row>
    <row r="992" spans="5:7">
      <c r="E992" s="3"/>
      <c r="G992" s="3"/>
    </row>
    <row r="993" spans="5:7">
      <c r="E993" s="3"/>
      <c r="G993" s="3"/>
    </row>
    <row r="994" spans="5:7">
      <c r="E994" s="3"/>
      <c r="G994" s="3"/>
    </row>
    <row r="995" spans="5:7">
      <c r="E995" s="3"/>
      <c r="G995" s="3"/>
    </row>
    <row r="996" spans="5:7">
      <c r="E996" s="3"/>
      <c r="G996" s="3"/>
    </row>
    <row r="997" spans="5:7">
      <c r="E997" s="3"/>
      <c r="G997" s="3"/>
    </row>
    <row r="998" spans="5:7">
      <c r="E998" s="3"/>
      <c r="G998" s="3"/>
    </row>
    <row r="999" spans="5:7">
      <c r="E999" s="3"/>
      <c r="G999" s="3"/>
    </row>
    <row r="1000" spans="5:7">
      <c r="E1000" s="3"/>
      <c r="G1000" s="3"/>
    </row>
    <row r="1001" spans="5:7">
      <c r="E1001" s="3"/>
      <c r="G1001" s="3"/>
    </row>
    <row r="1002" spans="5:7">
      <c r="E1002" s="3"/>
      <c r="G1002" s="3"/>
    </row>
    <row r="1003" spans="5:7">
      <c r="E1003" s="3"/>
      <c r="G1003" s="3"/>
    </row>
  </sheetData>
  <mergeCells count="20">
    <mergeCell ref="B21:J21"/>
    <mergeCell ref="B22:J22"/>
    <mergeCell ref="B23:J23"/>
    <mergeCell ref="B9:H9"/>
    <mergeCell ref="I10:J10"/>
    <mergeCell ref="A13:K13"/>
    <mergeCell ref="B14:J14"/>
    <mergeCell ref="B15:J15"/>
    <mergeCell ref="B16:J16"/>
    <mergeCell ref="B17:J17"/>
    <mergeCell ref="B7:H7"/>
    <mergeCell ref="B8:H8"/>
    <mergeCell ref="B18:J18"/>
    <mergeCell ref="B19:J19"/>
    <mergeCell ref="B20:J20"/>
    <mergeCell ref="A1:K1"/>
    <mergeCell ref="A3:K3"/>
    <mergeCell ref="B4:H4"/>
    <mergeCell ref="B5:H5"/>
    <mergeCell ref="B6:H6"/>
  </mergeCells>
  <pageMargins left="0.39000000000000007" right="0.39000000000000007" top="0.87" bottom="0.59" header="0" footer="0"/>
  <pageSetup paperSize="9" orientation="landscape"/>
  <headerFooter>
    <oddFooter>&amp;LSheet: &amp;A File: &amp;F&amp;CVersion:  Date: &amp;R&amp;P of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945D027738B89C4B923EE24D09F69D8D" ma:contentTypeVersion="21" ma:contentTypeDescription="Crie um novo documento." ma:contentTypeScope="" ma:versionID="0f42cd5b905695dbcc95b4b8b2b70526">
  <xsd:schema xmlns:xsd="http://www.w3.org/2001/XMLSchema" xmlns:xs="http://www.w3.org/2001/XMLSchema" xmlns:p="http://schemas.microsoft.com/office/2006/metadata/properties" xmlns:ns2="fdadbd76-b788-4eee-8741-1cfbf33b1bdf" xmlns:ns3="b904dc75-7b9a-4f84-9a2e-200bc1c3d581" targetNamespace="http://schemas.microsoft.com/office/2006/metadata/properties" ma:root="true" ma:fieldsID="bdefc5c35508f5b7776d13302b4c32f3" ns2:_="" ns3:_="">
    <xsd:import namespace="fdadbd76-b788-4eee-8741-1cfbf33b1bdf"/>
    <xsd:import namespace="b904dc75-7b9a-4f84-9a2e-200bc1c3d581"/>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MediaServiceLocation" minOccurs="0"/>
                <xsd:element ref="ns3:TaxCatchAll" minOccurs="0"/>
                <xsd:element ref="ns2:lcf76f155ced4ddcb4097134ff3c332f"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adbd76-b788-4eee-8741-1cfbf33b1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Marcações de imagem" ma:readOnly="false" ma:fieldId="{5cf76f15-5ced-4ddc-b409-7134ff3c332f}" ma:taxonomyMulti="true" ma:sspId="3bb9e50e-ce22-4fee-9d7c-9dfda410bf1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04dc75-7b9a-4f84-9a2e-200bc1c3d581" elementFormDefault="qualified">
    <xsd:import namespace="http://schemas.microsoft.com/office/2006/documentManagement/types"/>
    <xsd:import namespace="http://schemas.microsoft.com/office/infopath/2007/PartnerControls"/>
    <xsd:element name="SharedWithUsers" ma:index="12"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04749f38-464b-4200-80fc-7733913fdc6d}" ma:internalName="TaxCatchAll" ma:showField="CatchAllData" ma:web="b904dc75-7b9a-4f84-9a2e-200bc1c3d58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904dc75-7b9a-4f84-9a2e-200bc1c3d581" xsi:nil="true"/>
    <lcf76f155ced4ddcb4097134ff3c332f xmlns="fdadbd76-b788-4eee-8741-1cfbf33b1bd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A510F05-093E-4F97-AC0A-E9741E54FC15}"/>
</file>

<file path=customXml/itemProps2.xml><?xml version="1.0" encoding="utf-8"?>
<ds:datastoreItem xmlns:ds="http://schemas.openxmlformats.org/officeDocument/2006/customXml" ds:itemID="{90A5481F-0303-41C6-8F18-A4B93A2CA552}"/>
</file>

<file path=customXml/itemProps3.xml><?xml version="1.0" encoding="utf-8"?>
<ds:datastoreItem xmlns:ds="http://schemas.openxmlformats.org/officeDocument/2006/customXml" ds:itemID="{302B8898-384B-4E15-9828-8CB3AD2E659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Walsh</dc:creator>
  <cp:keywords/>
  <dc:description/>
  <cp:lastModifiedBy>Lucas Silveira Portal</cp:lastModifiedBy>
  <cp:revision/>
  <dcterms:created xsi:type="dcterms:W3CDTF">2010-04-27T04:25:00Z</dcterms:created>
  <dcterms:modified xsi:type="dcterms:W3CDTF">2026-05-06T12:39:31Z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0x010100945D027738B89C4B923EE24D09F69D8D</vt:lpwstr>
  </property>
  <property fmtid="{D5CDD505-2E9C-101B-9397-08002B2CF9AE}" pid="3" name="MediaServiceImageTags">
    <vt:lpwstr/>
  </property>
</Properties>
</file>